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xr:revisionPtr revIDLastSave="3630" documentId="11_99A44736E5104A7D89366B358A7FCCD0993E4832" xr6:coauthVersionLast="47" xr6:coauthVersionMax="47" xr10:uidLastSave="{6903CA8A-DD3F-4E3D-9D27-41A2CC452BFF}"/>
  <bookViews>
    <workbookView xWindow="0" yWindow="0" windowWidth="16384" windowHeight="8192" tabRatio="500" xr2:uid="{00000000-000D-0000-FFFF-FFFF00000000}"/>
  </bookViews>
  <sheets>
    <sheet name="Team Skill" sheetId="1" r:id="rId1"/>
    <sheet name="Competency Definition" sheetId="2" r:id="rId2"/>
    <sheet name="Skill Dashboard" sheetId="5" r:id="rId3"/>
    <sheet name="Project" sheetId="3" r:id="rId4"/>
    <sheet name="Project Control" sheetId="4" r:id="rId5"/>
    <sheet name="Chart Data" sheetId="6" state="hidden" r:id="rId6"/>
  </sheets>
  <definedNames>
    <definedName name="DomainFilterList">_xlfn.ANCHORARRAY('Chart Data'!$A$2)</definedName>
    <definedName name="MemberFilterList">_xlfn.ANCHORARRAY('Chart Data'!$M$2)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" i="6" l="1"/>
  <c r="S1" i="6"/>
  <c r="P1" i="6"/>
  <c r="O2" i="6" a="1"/>
  <c r="O2" i="6"/>
  <c r="K1" i="6"/>
  <c r="J2" i="6" a="1"/>
  <c r="J2" i="6"/>
  <c r="E35" i="5"/>
  <c r="M2" i="6" a="1"/>
  <c r="M2" i="6"/>
  <c r="E2" i="6" a="1"/>
  <c r="E2" i="6"/>
  <c r="M5" i="5"/>
  <c r="G5" i="5"/>
  <c r="A2" i="6" a="1"/>
  <c r="A2" i="6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J5" i="4"/>
  <c r="G5" i="4"/>
  <c r="D5" i="4"/>
  <c r="A5" i="4"/>
  <c r="H29" i="3" a="1"/>
  <c r="H29" i="3" s="1"/>
  <c r="H28" i="3" a="1"/>
  <c r="H28" i="3" s="1"/>
  <c r="H27" i="3" a="1"/>
  <c r="H27" i="3" s="1"/>
  <c r="H26" i="3" a="1"/>
  <c r="H26" i="3" s="1"/>
  <c r="H25" i="3" a="1"/>
  <c r="H25" i="3" s="1"/>
  <c r="H24" i="3" a="1"/>
  <c r="H24" i="3" s="1"/>
  <c r="H23" i="3" a="1"/>
  <c r="H23" i="3" s="1"/>
  <c r="H22" i="3" a="1"/>
  <c r="H22" i="3" s="1"/>
  <c r="H21" i="3" a="1"/>
  <c r="H21" i="3" s="1"/>
  <c r="H20" i="3" a="1"/>
  <c r="H20" i="3" s="1"/>
  <c r="H19" i="3" a="1"/>
  <c r="H19" i="3" s="1"/>
  <c r="H18" i="3" a="1"/>
  <c r="H18" i="3" s="1"/>
  <c r="H17" i="3" a="1"/>
  <c r="H17" i="3" s="1"/>
  <c r="H16" i="3" a="1"/>
  <c r="H16" i="3" s="1"/>
  <c r="H15" i="3" a="1"/>
  <c r="H15" i="3" s="1"/>
  <c r="H14" i="3" a="1"/>
  <c r="H14" i="3" s="1"/>
  <c r="H13" i="3" a="1"/>
  <c r="H13" i="3" s="1"/>
  <c r="H12" i="3" a="1"/>
  <c r="H12" i="3" s="1"/>
  <c r="H11" i="3" a="1"/>
  <c r="H11" i="3" s="1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5" i="3"/>
  <c r="G5" i="3"/>
  <c r="D5" i="3"/>
  <c r="A5" i="3"/>
  <c r="L2" i="6" l="1" a="1"/>
  <c r="L2" i="6" s="1"/>
  <c r="S13" i="6" a="1"/>
  <c r="S13" i="6" s="1"/>
  <c r="S12" i="6" a="1"/>
  <c r="S12" i="6" s="1"/>
  <c r="S11" i="6" a="1"/>
  <c r="S11" i="6" s="1"/>
  <c r="S10" i="6" a="1"/>
  <c r="S10" i="6" s="1"/>
  <c r="S9" i="6" a="1"/>
  <c r="S9" i="6" s="1"/>
  <c r="S8" i="6" a="1"/>
  <c r="S8" i="6" s="1"/>
  <c r="S7" i="6" a="1"/>
  <c r="S7" i="6" s="1"/>
  <c r="S6" i="6" a="1"/>
  <c r="S6" i="6" s="1"/>
  <c r="S5" i="6" a="1"/>
  <c r="S5" i="6" s="1"/>
  <c r="S4" i="6" a="1"/>
  <c r="S4" i="6" s="1"/>
  <c r="S3" i="6" a="1"/>
  <c r="S3" i="6" s="1"/>
  <c r="S2" i="6" a="1"/>
  <c r="S2" i="6" s="1"/>
  <c r="R13" i="6" a="1"/>
  <c r="R13" i="6" s="1"/>
  <c r="T13" i="6" s="1"/>
  <c r="R12" i="6" a="1"/>
  <c r="R12" i="6" s="1"/>
  <c r="T12" i="6" s="1"/>
  <c r="R11" i="6" a="1"/>
  <c r="R11" i="6" s="1"/>
  <c r="T11" i="6" s="1"/>
  <c r="R10" i="6" a="1"/>
  <c r="R10" i="6" s="1"/>
  <c r="T10" i="6" s="1"/>
  <c r="R9" i="6" a="1"/>
  <c r="R9" i="6" s="1"/>
  <c r="T9" i="6" s="1"/>
  <c r="R8" i="6" a="1"/>
  <c r="R8" i="6" s="1"/>
  <c r="T8" i="6" s="1"/>
  <c r="R7" i="6" a="1"/>
  <c r="R7" i="6" s="1"/>
  <c r="T7" i="6" s="1"/>
  <c r="R6" i="6" a="1"/>
  <c r="R6" i="6" s="1"/>
  <c r="T6" i="6" s="1"/>
  <c r="R5" i="6" a="1"/>
  <c r="R5" i="6" s="1"/>
  <c r="T5" i="6" s="1"/>
  <c r="R4" i="6" a="1"/>
  <c r="R4" i="6" s="1"/>
  <c r="T4" i="6" s="1"/>
  <c r="R3" i="6" a="1"/>
  <c r="R3" i="6" s="1"/>
  <c r="T3" i="6" s="1"/>
  <c r="R2" i="6" a="1"/>
  <c r="R2" i="6" s="1"/>
  <c r="T2" i="6" s="1"/>
  <c r="N2" i="4" a="1"/>
  <c r="N2" i="4" s="1"/>
  <c r="AA2" i="3" a="1"/>
  <c r="AA2" i="3" s="1"/>
  <c r="J5" i="5"/>
  <c r="D5" i="5"/>
  <c r="A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<sst xmlns="http://schemas.openxmlformats.org/spreadsheetml/2006/main" count="1792" uniqueCount="438">
  <si>
    <t>Domain</t>
  </si>
  <si>
    <t>Skill</t>
  </si>
  <si>
    <t>Toàn</t>
  </si>
  <si>
    <t>Long</t>
  </si>
  <si>
    <t>Tuấn</t>
  </si>
  <si>
    <t>Duy</t>
  </si>
  <si>
    <t>Sang</t>
  </si>
  <si>
    <t>Bảo</t>
  </si>
  <si>
    <t>Thông</t>
  </si>
  <si>
    <t>Khánh</t>
  </si>
  <si>
    <t>NV.A</t>
  </si>
  <si>
    <t>Owner</t>
  </si>
  <si>
    <t>Backup</t>
  </si>
  <si>
    <t>SME</t>
  </si>
  <si>
    <t>Virtualization</t>
  </si>
  <si>
    <t>VMware ESXi</t>
  </si>
  <si>
    <t>L2</t>
  </si>
  <si>
    <t>VMware vCenter</t>
  </si>
  <si>
    <t>VMware vSAN</t>
  </si>
  <si>
    <t>L1</t>
  </si>
  <si>
    <t>L0</t>
  </si>
  <si>
    <t>VMware NSX</t>
  </si>
  <si>
    <t>VMware Horizon</t>
  </si>
  <si>
    <t>Proxmox VE</t>
  </si>
  <si>
    <t>Hyper-V</t>
  </si>
  <si>
    <t>XCP-ng</t>
  </si>
  <si>
    <t>HPE</t>
  </si>
  <si>
    <t>VergeIO</t>
  </si>
  <si>
    <t>Nutanix</t>
  </si>
  <si>
    <t>CloudStack</t>
  </si>
  <si>
    <t>Windows Server</t>
  </si>
  <si>
    <t>Windows Server Administration</t>
  </si>
  <si>
    <t>Active Directory Domain Services (AD DS)</t>
  </si>
  <si>
    <t>Group Policy (GPO)</t>
  </si>
  <si>
    <t>Active Directory Certificate Services (AD CS)</t>
  </si>
  <si>
    <t>DNS</t>
  </si>
  <si>
    <t>DHCP</t>
  </si>
  <si>
    <t>IIS</t>
  </si>
  <si>
    <t>Failover Clustering</t>
  </si>
  <si>
    <t>File Services</t>
  </si>
  <si>
    <t>Linux Server</t>
  </si>
  <si>
    <t>Ubuntu</t>
  </si>
  <si>
    <t>RHEL</t>
  </si>
  <si>
    <t>CentOS</t>
  </si>
  <si>
    <t>Nginx</t>
  </si>
  <si>
    <t>Apache</t>
  </si>
  <si>
    <t>LVM</t>
  </si>
  <si>
    <t>NFS</t>
  </si>
  <si>
    <t>iSCSI</t>
  </si>
  <si>
    <t>Samba</t>
  </si>
  <si>
    <t>Tomcat</t>
  </si>
  <si>
    <t>Server Basic</t>
  </si>
  <si>
    <t>RAID</t>
  </si>
  <si>
    <t>iLO/iDRAC</t>
  </si>
  <si>
    <t>Firmware update</t>
  </si>
  <si>
    <t>Storage &amp; Backup</t>
  </si>
  <si>
    <t>SAN</t>
  </si>
  <si>
    <t>NAS</t>
  </si>
  <si>
    <t>Nimble Storage</t>
  </si>
  <si>
    <t>NexSan Storage</t>
  </si>
  <si>
    <t>Synology</t>
  </si>
  <si>
    <t>Qnap</t>
  </si>
  <si>
    <t>TrueNAS</t>
  </si>
  <si>
    <t>NetApp</t>
  </si>
  <si>
    <t>Veeam</t>
  </si>
  <si>
    <t>Commvault</t>
  </si>
  <si>
    <t>Proxmox Backup</t>
  </si>
  <si>
    <t>Bacula Backup</t>
  </si>
  <si>
    <t>Network</t>
  </si>
  <si>
    <t>Switching</t>
  </si>
  <si>
    <t>Routing</t>
  </si>
  <si>
    <t>Stacking</t>
  </si>
  <si>
    <t>OSPF</t>
  </si>
  <si>
    <t>BGP</t>
  </si>
  <si>
    <t>VLAN</t>
  </si>
  <si>
    <t>QoS</t>
  </si>
  <si>
    <t>Cisco ACI</t>
  </si>
  <si>
    <t>Wireless</t>
  </si>
  <si>
    <t>Aruba Wireless</t>
  </si>
  <si>
    <t>Cisco Wireless</t>
  </si>
  <si>
    <t>Allied Wireless</t>
  </si>
  <si>
    <t>Ruckus Wireless</t>
  </si>
  <si>
    <t>Ekahau Survey</t>
  </si>
  <si>
    <t>Wireless Design</t>
  </si>
  <si>
    <t>Firewall</t>
  </si>
  <si>
    <t>Palo Alto</t>
  </si>
  <si>
    <t>Check Point</t>
  </si>
  <si>
    <t>Fortinet</t>
  </si>
  <si>
    <t>Sophos</t>
  </si>
  <si>
    <t>OPNSense</t>
  </si>
  <si>
    <t>Cisco ASA</t>
  </si>
  <si>
    <t>Barracuda</t>
  </si>
  <si>
    <t>VPN(Client-to-site, Site-to-site)</t>
  </si>
  <si>
    <t>Security</t>
  </si>
  <si>
    <t>WAF</t>
  </si>
  <si>
    <t>Trend Micro</t>
  </si>
  <si>
    <t>Defender</t>
  </si>
  <si>
    <t>LDAP</t>
  </si>
  <si>
    <t>IDS/IPS</t>
  </si>
  <si>
    <t>NAC</t>
  </si>
  <si>
    <t>PKI</t>
  </si>
  <si>
    <t>MFA</t>
  </si>
  <si>
    <t>TACACS+</t>
  </si>
  <si>
    <t>RADIUS</t>
  </si>
  <si>
    <t>Syslog &amp; Monitoring</t>
  </si>
  <si>
    <t>Zabbix</t>
  </si>
  <si>
    <t>Splunk</t>
  </si>
  <si>
    <t>PRTG</t>
  </si>
  <si>
    <t>OpManager</t>
  </si>
  <si>
    <t>LOG360</t>
  </si>
  <si>
    <t>PAM360</t>
  </si>
  <si>
    <t>Graylog</t>
  </si>
  <si>
    <t>OpenObserve</t>
  </si>
  <si>
    <t>SolarWinds</t>
  </si>
  <si>
    <t>ELK</t>
  </si>
  <si>
    <t>Grafana</t>
  </si>
  <si>
    <t>Database (Deploy &amp; Basic configuration)</t>
  </si>
  <si>
    <t>SQL Server</t>
  </si>
  <si>
    <t>PostgreSQL</t>
  </si>
  <si>
    <t>MySQL</t>
  </si>
  <si>
    <t>Oracle DB</t>
  </si>
  <si>
    <t>UC &amp; Contact Center</t>
  </si>
  <si>
    <t>Cisco CUCM</t>
  </si>
  <si>
    <t>Cisco Meeting Server (CMS)</t>
  </si>
  <si>
    <t>Avaya Aura</t>
  </si>
  <si>
    <t>Avaya Unified Communication</t>
  </si>
  <si>
    <t>Avaya IPO (500v2 &amp; SE)</t>
  </si>
  <si>
    <t>Avaya IPOCC</t>
  </si>
  <si>
    <t>Call Management System (CMS)</t>
  </si>
  <si>
    <t>Elite Multi Channel (EMC)</t>
  </si>
  <si>
    <t>Experience Portal (AEP)</t>
  </si>
  <si>
    <t>Avaya Contact Recorder (ACR)</t>
  </si>
  <si>
    <t>Avaya Workforce Engagement (WFE)</t>
  </si>
  <si>
    <t>NICE</t>
  </si>
  <si>
    <t>Container Platform</t>
  </si>
  <si>
    <t>Docker</t>
  </si>
  <si>
    <t>Kubernetes</t>
  </si>
  <si>
    <t>OpenShift</t>
  </si>
  <si>
    <t>Rancher</t>
  </si>
  <si>
    <t>*Other Skills (Just need to be able to read and understand basic code, and perform basic configuration or environment setup)</t>
  </si>
  <si>
    <t>Basic Database Querying</t>
  </si>
  <si>
    <t xml:space="preserve">Basic Programming </t>
  </si>
  <si>
    <t>Python</t>
  </si>
  <si>
    <t>Basic Programming</t>
  </si>
  <si>
    <t>C#</t>
  </si>
  <si>
    <t>C++</t>
  </si>
  <si>
    <t>React</t>
  </si>
  <si>
    <t>Log file analysis and troubleshooting</t>
  </si>
  <si>
    <t>All systems, applications, ...</t>
  </si>
  <si>
    <t>Level</t>
  </si>
  <si>
    <t>Tên mức</t>
  </si>
  <si>
    <t>Mô tả năng lực</t>
  </si>
  <si>
    <t>Chưa có kiến thức</t>
  </si>
  <si>
    <t>Chưa biết hoặc chưa từng tiếp cận kỹ năng/công nghệ này.</t>
  </si>
  <si>
    <t>Đã biết, chưa thực hành thành công</t>
  </si>
  <si>
    <t>Đã có kiến thức cơ bản nhưng chưa thực hiện bài lab, hoặc đã thực hiện nhưng chưa hoàn thành thành công.</t>
  </si>
  <si>
    <t>Đã thực hành thành công</t>
  </si>
  <si>
    <t>Có kiến thức và đã hoàn thành bài lab thành công; có thể thực hiện lại theo tài liệu hoặc hướng dẫn.</t>
  </si>
  <si>
    <t>TEAM SKILL DASHBOARD</t>
  </si>
  <si>
    <t>Tổng quan năng lực theo Domain và thành viên — tự cập nhật khi bổ sung dữ liệu trong Team Skill Matrix</t>
  </si>
  <si>
    <t>DOMAIN</t>
  </si>
  <si>
    <t>SKILL</t>
  </si>
  <si>
    <t>THÀNH VIÊN</t>
  </si>
  <si>
    <t>ĐỘ PHỦ ĐÁNH GIÁ</t>
  </si>
  <si>
    <t>ĐIỂM TB TOÀN ĐỘI</t>
  </si>
  <si>
    <t>NĂNG LỰC TRUNG BÌNH THEO DOMAIN</t>
  </si>
  <si>
    <t>NĂNG LỰC TRUNG BÌNH THEO THÀNH VIÊN</t>
  </si>
  <si>
    <t>Quy ước: L0 = 0, L1 = 1, L2 = 2. Ô trống được xem là chưa đánh giá và không tính vào điểm trung bình.</t>
  </si>
  <si>
    <t>PHÂN TÍCH NĂNG LỰC THEO THÀNH VIÊN</t>
  </si>
  <si>
    <t>Thành viên:</t>
  </si>
  <si>
    <t>Domain:</t>
  </si>
  <si>
    <t>Chuẩn Skill:</t>
  </si>
  <si>
    <t>TỶ LỆ NĂNG LỰC THEO DOMAIN</t>
  </si>
  <si>
    <t>TỶ LỆ TỪNG SKILL TRONG DOMAIN</t>
  </si>
  <si>
    <t>Quy đổi L0 = 0%, L1 = 50%, L2 = 100%. Radar so sánh với trung bình đội; chuẩn Skill có thể điều chỉnh tại ô M35.</t>
  </si>
  <si>
    <t>PROJECT PORTFOLIO &amp; DELIVERY OWNERSHIP</t>
  </si>
  <si>
    <t>Thành viên</t>
  </si>
  <si>
    <t>Trạng thái dự án</t>
  </si>
  <si>
    <t>Trạng thái hạng mục</t>
  </si>
  <si>
    <t>Loại dự án</t>
  </si>
  <si>
    <t>Ưu tiên</t>
  </si>
  <si>
    <t>Sức khỏe RAG</t>
  </si>
  <si>
    <t>Giai đoạn</t>
  </si>
  <si>
    <t>Theo dõi dự án đã triển khai / sắp triển khai, thành phần kỹ thuật và trách nhiệm của từng thành viên</t>
  </si>
  <si>
    <t>Chuẩn bị</t>
  </si>
  <si>
    <t>Chưa bắt đầu</t>
  </si>
  <si>
    <t>Mới triển khai</t>
  </si>
  <si>
    <t>Cao</t>
  </si>
  <si>
    <t>Xanh</t>
  </si>
  <si>
    <t>Khởi động</t>
  </si>
  <si>
    <t>Đang triển khai</t>
  </si>
  <si>
    <t>Đang thực hiện</t>
  </si>
  <si>
    <t>Nâng cấp</t>
  </si>
  <si>
    <t>Trung bình</t>
  </si>
  <si>
    <t>Vàng</t>
  </si>
  <si>
    <t>Lập kế hoạch</t>
  </si>
  <si>
    <t>Tổng dự án</t>
  </si>
  <si>
    <t>Hoàn thành</t>
  </si>
  <si>
    <t>Đã phân công</t>
  </si>
  <si>
    <t>Mở rộng</t>
  </si>
  <si>
    <t>Thấp</t>
  </si>
  <si>
    <t>Đỏ</t>
  </si>
  <si>
    <t>Thực hiện</t>
  </si>
  <si>
    <t>Tạm dừng</t>
  </si>
  <si>
    <t>Bị chặn</t>
  </si>
  <si>
    <t>Bảo trì</t>
  </si>
  <si>
    <t>Nghiệm thu</t>
  </si>
  <si>
    <t>Dự án đã khai báo</t>
  </si>
  <si>
    <t>Cần theo dõi tiến độ</t>
  </si>
  <si>
    <t>Đã nghiệm thu / bàn giao</t>
  </si>
  <si>
    <t>Thành phần có người phụ trách</t>
  </si>
  <si>
    <t>PoC</t>
  </si>
  <si>
    <t>Đóng dự án</t>
  </si>
  <si>
    <t>DANH MỤC DỰ ÁN</t>
  </si>
  <si>
    <t>Mã dự án</t>
  </si>
  <si>
    <t>Tên dự án</t>
  </si>
  <si>
    <t>Trạng thái</t>
  </si>
  <si>
    <t>Ngày bắt đầu</t>
  </si>
  <si>
    <t>Ngày hoàn thành KH</t>
  </si>
  <si>
    <t>Phụ trách dự án</t>
  </si>
  <si>
    <t>Thành viên tham gia</t>
  </si>
  <si>
    <t>Mục tiêu / Phạm vi</t>
  </si>
  <si>
    <t>Số thành phần</t>
  </si>
  <si>
    <t>Tiến độ</t>
  </si>
  <si>
    <t>Ghi chú</t>
  </si>
  <si>
    <t>Thi</t>
  </si>
  <si>
    <t>Sponsor</t>
  </si>
  <si>
    <t>Người giám sát</t>
  </si>
  <si>
    <t>Ngày cập nhật</t>
  </si>
  <si>
    <t xml:space="preserve"> </t>
  </si>
  <si>
    <t>Cách chọn nhiều người: tại các cột tên thành viên, chọn “Có”; cột Thành viên tham gia sẽ tự động tổng hợp danh sách.</t>
  </si>
  <si>
    <t>THÀNH PHẦN TRIỂN KHAI &amp; PHÂN CÔNG</t>
  </si>
  <si>
    <t>Mã hạng mục</t>
  </si>
  <si>
    <t>Skill / Thành phần</t>
  </si>
  <si>
    <t>Phụ trách hạng mục</t>
  </si>
  <si>
    <t>Người tham gia</t>
  </si>
  <si>
    <t>Vai trò / Trách nhiệm</t>
  </si>
  <si>
    <t>Ngày hoàn thành</t>
  </si>
  <si>
    <t>Kết quả / Bằng chứng</t>
  </si>
  <si>
    <t>CMP-001</t>
  </si>
  <si>
    <t>CMP-002</t>
  </si>
  <si>
    <t>CMP-003</t>
  </si>
  <si>
    <t>CMP-004</t>
  </si>
  <si>
    <t>CMP-005</t>
  </si>
  <si>
    <t>CMP-006</t>
  </si>
  <si>
    <t>CMP-007</t>
  </si>
  <si>
    <t>CMP-008</t>
  </si>
  <si>
    <t>CMP-009</t>
  </si>
  <si>
    <t>CMP-010</t>
  </si>
  <si>
    <t>CMP-011</t>
  </si>
  <si>
    <t>CMP-012</t>
  </si>
  <si>
    <t>CMP-013</t>
  </si>
  <si>
    <t>CMP-014</t>
  </si>
  <si>
    <t>CMP-015</t>
  </si>
  <si>
    <t>CMP-016</t>
  </si>
  <si>
    <t>CMP-017</t>
  </si>
  <si>
    <t>CMP-018</t>
  </si>
  <si>
    <t>CMP-019</t>
  </si>
  <si>
    <t>DNS và DHCP</t>
  </si>
  <si>
    <t>CMP-020</t>
  </si>
  <si>
    <t>CMP-021</t>
  </si>
  <si>
    <t>ADFS</t>
  </si>
  <si>
    <t>CMP-022</t>
  </si>
  <si>
    <t>CMP-023</t>
  </si>
  <si>
    <t>CMP-024</t>
  </si>
  <si>
    <t>Rocky Linux</t>
  </si>
  <si>
    <t>CMP-025</t>
  </si>
  <si>
    <t>CMP-026</t>
  </si>
  <si>
    <t>CMP-027</t>
  </si>
  <si>
    <t>CMP-028</t>
  </si>
  <si>
    <t>CMP-029</t>
  </si>
  <si>
    <t>CMP-030</t>
  </si>
  <si>
    <t>CMP-031</t>
  </si>
  <si>
    <t>CMP-032</t>
  </si>
  <si>
    <t>CMP-033</t>
  </si>
  <si>
    <t>CMP-034</t>
  </si>
  <si>
    <t>DR Solution</t>
  </si>
  <si>
    <t>CMP-035</t>
  </si>
  <si>
    <t>CMP-036</t>
  </si>
  <si>
    <t>CMP-037</t>
  </si>
  <si>
    <t>CMP-038</t>
  </si>
  <si>
    <t>CMP-039</t>
  </si>
  <si>
    <t>CMP-040</t>
  </si>
  <si>
    <t>CMP-041</t>
  </si>
  <si>
    <t>CMP-042</t>
  </si>
  <si>
    <t>CMP-043</t>
  </si>
  <si>
    <t>CMP-044</t>
  </si>
  <si>
    <t>CMP-045</t>
  </si>
  <si>
    <t>Ruckus</t>
  </si>
  <si>
    <t>CMP-046</t>
  </si>
  <si>
    <t>CMP-047</t>
  </si>
  <si>
    <t>CMP-048</t>
  </si>
  <si>
    <t>CMP-049</t>
  </si>
  <si>
    <t>CMP-050</t>
  </si>
  <si>
    <t>CMP-051</t>
  </si>
  <si>
    <t>CMP-052</t>
  </si>
  <si>
    <t>CMP-053</t>
  </si>
  <si>
    <t>CMP-054</t>
  </si>
  <si>
    <t>CMP-055</t>
  </si>
  <si>
    <t>CMP-056</t>
  </si>
  <si>
    <t>CMP-057</t>
  </si>
  <si>
    <t>CMP-058</t>
  </si>
  <si>
    <t>CMP-059</t>
  </si>
  <si>
    <t>CMP-060</t>
  </si>
  <si>
    <t>CMP-061</t>
  </si>
  <si>
    <t>CMP-062</t>
  </si>
  <si>
    <t>CMP-063</t>
  </si>
  <si>
    <t>CMP-064</t>
  </si>
  <si>
    <t>CMP-065</t>
  </si>
  <si>
    <t>CMP-066</t>
  </si>
  <si>
    <t>CMP-067</t>
  </si>
  <si>
    <t>Database</t>
  </si>
  <si>
    <t>CMP-068</t>
  </si>
  <si>
    <t>CMP-069</t>
  </si>
  <si>
    <t>CMP-070</t>
  </si>
  <si>
    <t>CMP-071</t>
  </si>
  <si>
    <t>Microsoft 365</t>
  </si>
  <si>
    <t>Exchange Online</t>
  </si>
  <si>
    <t>CMP-072</t>
  </si>
  <si>
    <t>Teams</t>
  </si>
  <si>
    <t>CMP-073</t>
  </si>
  <si>
    <t>SharePoint</t>
  </si>
  <si>
    <t>CMP-074</t>
  </si>
  <si>
    <t>OneDrive</t>
  </si>
  <si>
    <t>CMP-075</t>
  </si>
  <si>
    <t>Intune</t>
  </si>
  <si>
    <t>CMP-076</t>
  </si>
  <si>
    <t>CMP-077</t>
  </si>
  <si>
    <t>Cisco CMS</t>
  </si>
  <si>
    <t>CMP-078</t>
  </si>
  <si>
    <t>CMP-079</t>
  </si>
  <si>
    <t>Avaya IPO</t>
  </si>
  <si>
    <t>CMP-080</t>
  </si>
  <si>
    <t>Avaya CMS</t>
  </si>
  <si>
    <t>CMP-081</t>
  </si>
  <si>
    <t>CMP-082</t>
  </si>
  <si>
    <t>Automation &amp; DevOps</t>
  </si>
  <si>
    <t>PowerShell</t>
  </si>
  <si>
    <t>CMP-083</t>
  </si>
  <si>
    <t>CMP-084</t>
  </si>
  <si>
    <t>Bash</t>
  </si>
  <si>
    <t>CMP-085</t>
  </si>
  <si>
    <t>Ansible</t>
  </si>
  <si>
    <t>CMP-086</t>
  </si>
  <si>
    <t>Terraform</t>
  </si>
  <si>
    <t>CMP-087</t>
  </si>
  <si>
    <t>Azure DevOps</t>
  </si>
  <si>
    <t>CMP-088</t>
  </si>
  <si>
    <t>GitLab</t>
  </si>
  <si>
    <t>CMP-089</t>
  </si>
  <si>
    <t>AI Infrastructure</t>
  </si>
  <si>
    <t>Microsoft Copilot</t>
  </si>
  <si>
    <t>CMP-090</t>
  </si>
  <si>
    <t>Azure AI</t>
  </si>
  <si>
    <t>CMP-091</t>
  </si>
  <si>
    <t>OpenAI API</t>
  </si>
  <si>
    <t>CMP-092</t>
  </si>
  <si>
    <t>GPU Server</t>
  </si>
  <si>
    <t>CMP-093</t>
  </si>
  <si>
    <t>Vector Database</t>
  </si>
  <si>
    <t>CMP-094</t>
  </si>
  <si>
    <t>RAG Architecture</t>
  </si>
  <si>
    <t>PROJECT CONTROL CENTER</t>
  </si>
  <si>
    <t>Milestone</t>
  </si>
  <si>
    <t>Loại R/I</t>
  </si>
  <si>
    <t>Mức</t>
  </si>
  <si>
    <t>Trạng thái R/I</t>
  </si>
  <si>
    <t>Loại D/C</t>
  </si>
  <si>
    <t>Trạng thái D/C</t>
  </si>
  <si>
    <t>Có/Không</t>
  </si>
  <si>
    <t>Theo dõi mốc tiến độ, rủi ro, quyết định thay đổi và nghiệm thu theo từng dự án</t>
  </si>
  <si>
    <t>Rủi ro</t>
  </si>
  <si>
    <t>Mở</t>
  </si>
  <si>
    <t>Quyết định</t>
  </si>
  <si>
    <t>Chờ duyệt</t>
  </si>
  <si>
    <t>Chưa sẵn sàng</t>
  </si>
  <si>
    <t>Có</t>
  </si>
  <si>
    <t>Vấn đề</t>
  </si>
  <si>
    <t>Đang xử lý</t>
  </si>
  <si>
    <t>Yêu cầu thay đổi</t>
  </si>
  <si>
    <t>Đã duyệt</t>
  </si>
  <si>
    <t>Chờ nghiệm thu</t>
  </si>
  <si>
    <t>Không</t>
  </si>
  <si>
    <t>Mốc quá hạn</t>
  </si>
  <si>
    <t>Rủi ro / vấn đề mở</t>
  </si>
  <si>
    <t>Thay đổi chờ duyệt</t>
  </si>
  <si>
    <t>Đã đóng</t>
  </si>
  <si>
    <t>Từ chối</t>
  </si>
  <si>
    <t>Đạt</t>
  </si>
  <si>
    <t>Trễ</t>
  </si>
  <si>
    <t>Đã triển khai</t>
  </si>
  <si>
    <t>Không đạt</t>
  </si>
  <si>
    <t>Cần xử lý tiến độ</t>
  </si>
  <si>
    <t>Chưa đóng hoàn toàn</t>
  </si>
  <si>
    <t>Cần quyết định</t>
  </si>
  <si>
    <t>Cần xác nhận kết quả</t>
  </si>
  <si>
    <t>MILESTONE &amp; TIẾN ĐỘ</t>
  </si>
  <si>
    <t>Mã mốc</t>
  </si>
  <si>
    <t>Mốc / Kết quả</t>
  </si>
  <si>
    <t>Hạn KH</t>
  </si>
  <si>
    <t>% hoàn thành</t>
  </si>
  <si>
    <t>Phụ thuộc</t>
  </si>
  <si>
    <t>RỦI RO &amp; VẤN ĐỀ</t>
  </si>
  <si>
    <t>Mã R/I</t>
  </si>
  <si>
    <t>Loại</t>
  </si>
  <si>
    <t>Mô tả</t>
  </si>
  <si>
    <t>Xác suất</t>
  </si>
  <si>
    <t>Tác động</t>
  </si>
  <si>
    <t>Mức độ</t>
  </si>
  <si>
    <t>Hạn xử lý</t>
  </si>
  <si>
    <t>Biện pháp xử lý</t>
  </si>
  <si>
    <t>Cập nhật gần nhất</t>
  </si>
  <si>
    <t>QUYẾT ĐỊNH &amp; YÊU CẦU THAY ĐỔI</t>
  </si>
  <si>
    <t>Mã D/C</t>
  </si>
  <si>
    <t>Nội dung</t>
  </si>
  <si>
    <t>Người đề xuất</t>
  </si>
  <si>
    <t>Ngày đề xuất</t>
  </si>
  <si>
    <t>Người phê duyệt</t>
  </si>
  <si>
    <t>Ngày quyết định</t>
  </si>
  <si>
    <t>Ảnh hưởng phạm vi/tiến độ</t>
  </si>
  <si>
    <t>Hành động tiếp theo</t>
  </si>
  <si>
    <t>NGHIỆM THU &amp; BÀN GIAO</t>
  </si>
  <si>
    <t>Mã NT</t>
  </si>
  <si>
    <t>Hạng mục / Deliverable</t>
  </si>
  <si>
    <t>Tiêu chí nghiệm thu</t>
  </si>
  <si>
    <t>Người nghiệm thu</t>
  </si>
  <si>
    <t>Ngày dự kiến</t>
  </si>
  <si>
    <t>Ngày thực tế</t>
  </si>
  <si>
    <t>Bằng chứng / Tài liệu</t>
  </si>
  <si>
    <t>Bàn giao vận hành</t>
  </si>
  <si>
    <t>Hành động tồn đọng</t>
  </si>
  <si>
    <t>Điểm TB</t>
  </si>
  <si>
    <t>Số Skill</t>
  </si>
  <si>
    <t>Đã đánh giá</t>
  </si>
  <si>
    <t>Độ phủ</t>
  </si>
  <si>
    <t>Trung bình đội</t>
  </si>
  <si>
    <t>Danh sách thành viên</t>
  </si>
  <si>
    <t>Skill hiển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</si>
</sst>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29">
    <font>
      <sz val="11"/>
      <color theme="1"/>
      <name val="Calibri"/>
      <family val="2"/>
      <charset val="1"/>
    </font>
    <font>
      <b/>
      <sz val="11"/>
      <color rgb="FF001F43"/>
      <name val="Calibri"/>
      <charset val="1"/>
    </font>
    <font>
      <sz val="11"/>
      <color rgb="FF262626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1F43"/>
      <name val="Calibri"/>
      <family val="2"/>
      <charset val="1"/>
    </font>
    <font>
      <b/>
      <sz val="11"/>
      <color rgb="FF262626"/>
      <name val="Calibri"/>
      <family val="2"/>
      <charset val="1"/>
    </font>
    <font>
      <sz val="11"/>
      <color rgb="FF595959"/>
      <name val="Calibri"/>
      <family val="2"/>
      <charset val="1"/>
    </font>
    <font>
      <sz val="11"/>
      <color rgb="FFE17305"/>
      <name val="Calibri"/>
      <family val="2"/>
      <charset val="1"/>
    </font>
    <font>
      <b/>
      <sz val="11"/>
      <color rgb="FFE17305"/>
      <name val="Calibri"/>
      <family val="2"/>
      <charset val="1"/>
    </font>
    <font>
      <sz val="11"/>
      <color rgb="FF117E39"/>
      <name val="Calibri"/>
      <family val="2"/>
      <charset val="1"/>
    </font>
    <font>
      <b/>
      <sz val="11"/>
      <color rgb="FF117E39"/>
      <name val="Calibri"/>
      <family val="2"/>
      <charset val="1"/>
    </font>
    <font>
      <b/>
      <sz val="11"/>
      <color rgb="FF001F43"/>
      <name val="Calibri"/>
      <family val="2"/>
      <charset val="1"/>
    </font>
    <font>
      <i/>
      <sz val="11"/>
      <color rgb="FF5B6573"/>
      <name val="Calibri"/>
      <family val="2"/>
      <charset val="1"/>
    </font>
    <font>
      <sz val="11"/>
      <color rgb="FFC50F1F"/>
      <name val="Calibri"/>
      <family val="2"/>
      <charset val="1"/>
    </font>
    <font>
      <b/>
      <sz val="11"/>
      <color rgb="FFC50F1F"/>
      <name val="Calibri"/>
      <family val="2"/>
      <charset val="1"/>
    </font>
    <font>
      <b/>
      <sz val="11"/>
      <color rgb="FF163A5F"/>
      <name val="Calibri"/>
      <family val="2"/>
      <charset val="1"/>
    </font>
    <font>
      <sz val="11"/>
      <color rgb="FF243447"/>
      <name val="Aptos"/>
    </font>
    <font>
      <b/>
      <sz val="11"/>
      <color rgb="FFFFFFFF"/>
      <name val="Aptos"/>
    </font>
    <font>
      <b/>
      <sz val="20"/>
      <color rgb="FFFFFFFF"/>
      <name val="Aptos"/>
    </font>
    <font>
      <sz val="10"/>
      <color rgb="FF60758A"/>
      <name val="Aptos"/>
    </font>
    <font>
      <b/>
      <sz val="11"/>
      <color rgb="FF17365D"/>
      <name val="Aptos"/>
    </font>
    <font>
      <b/>
      <sz val="9"/>
      <color rgb="FF17365D"/>
      <name val="Aptos"/>
    </font>
    <font>
      <b/>
      <sz val="19"/>
      <color rgb="FF007C91"/>
      <name val="Aptos"/>
    </font>
    <font>
      <i/>
      <sz val="9"/>
      <color rgb="FF44546A"/>
      <name val="Aptos"/>
    </font>
    <font>
      <b/>
      <sz val="11"/>
      <color rgb="FF007C91"/>
      <name val="Aptos"/>
    </font>
    <font>
      <i/>
      <sz val="9"/>
      <color rgb="FF243447"/>
      <name val="Aptos"/>
    </font>
    <font>
      <b/>
      <sz val="11"/>
      <color rgb="FFC55A11"/>
      <name val="Aptos"/>
    </font>
    <font>
      <b/>
      <sz val="11"/>
      <color rgb="FFC55A1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F3C79B"/>
        <bgColor indexed="64"/>
      </patternFill>
    </fill>
    <fill>
      <patternFill patternType="solid">
        <fgColor rgb="FFF9E3CD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E9F1F8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D5E5F4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E5EE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001F43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hair">
        <color rgb="FFE6ECF2"/>
      </right>
      <top style="hair">
        <color rgb="FFD9E2EC"/>
      </top>
      <bottom style="hair">
        <color rgb="FFD9E2EC"/>
      </bottom>
      <diagonal/>
    </border>
    <border>
      <left style="hair">
        <color rgb="FFE6ECF2"/>
      </left>
      <right style="hair">
        <color rgb="FFE6ECF2"/>
      </right>
      <top style="hair">
        <color rgb="FFD9E2EC"/>
      </top>
      <bottom style="hair">
        <color rgb="FFD9E2EC"/>
      </bottom>
      <diagonal/>
    </border>
    <border>
      <left style="hair">
        <color rgb="FFE6ECF2"/>
      </left>
      <right/>
      <top style="hair">
        <color rgb="FFD9E2EC"/>
      </top>
      <bottom style="hair">
        <color rgb="FFD9E2EC"/>
      </bottom>
      <diagonal/>
    </border>
    <border>
      <left/>
      <right style="hair">
        <color rgb="FFE6ECF2"/>
      </right>
      <top style="hair">
        <color rgb="FFD9E2EC"/>
      </top>
      <bottom/>
      <diagonal/>
    </border>
    <border>
      <left style="hair">
        <color rgb="FFE6ECF2"/>
      </left>
      <right style="hair">
        <color rgb="FFE6ECF2"/>
      </right>
      <top style="hair">
        <color rgb="FFD9E2EC"/>
      </top>
      <bottom/>
      <diagonal/>
    </border>
    <border>
      <left style="hair">
        <color rgb="FFE6ECF2"/>
      </left>
      <right/>
      <top style="hair">
        <color rgb="FFD9E2EC"/>
      </top>
      <bottom/>
      <diagonal/>
    </border>
    <border>
      <left/>
      <right style="hair">
        <color rgb="FFE6ECF2"/>
      </right>
      <top/>
      <bottom style="hair">
        <color rgb="FFD9E2EC"/>
      </bottom>
      <diagonal/>
    </border>
    <border>
      <left style="hair">
        <color rgb="FFE6ECF2"/>
      </left>
      <right style="hair">
        <color rgb="FFE6ECF2"/>
      </right>
      <top/>
      <bottom style="hair">
        <color rgb="FFD9E2EC"/>
      </bottom>
      <diagonal/>
    </border>
    <border>
      <left style="hair">
        <color rgb="FFE6ECF2"/>
      </left>
      <right/>
      <top/>
      <bottom style="hair">
        <color rgb="FFD9E2EC"/>
      </bottom>
      <diagonal/>
    </border>
    <border>
      <left/>
      <right style="hair">
        <color rgb="FFE6ECF2"/>
      </right>
      <top style="medium">
        <color rgb="FF4F81BD"/>
      </top>
      <bottom style="hair">
        <color rgb="FFD9E2EC"/>
      </bottom>
      <diagonal/>
    </border>
    <border>
      <left style="hair">
        <color rgb="FFE6ECF2"/>
      </left>
      <right style="hair">
        <color rgb="FFE6ECF2"/>
      </right>
      <top style="medium">
        <color rgb="FF4F81BD"/>
      </top>
      <bottom style="hair">
        <color rgb="FFD9E2EC"/>
      </bottom>
      <diagonal/>
    </border>
    <border>
      <left style="hair">
        <color rgb="FFE6ECF2"/>
      </left>
      <right/>
      <top style="medium">
        <color rgb="FF4F81BD"/>
      </top>
      <bottom style="hair">
        <color rgb="FFD9E2EC"/>
      </bottom>
      <diagonal/>
    </border>
    <border>
      <left style="thin">
        <color rgb="FF000000"/>
      </left>
      <right style="hair">
        <color rgb="FFE6ECF2"/>
      </right>
      <top style="hair">
        <color rgb="FFD9E2EC"/>
      </top>
      <bottom style="hair">
        <color rgb="FFD9E2EC"/>
      </bottom>
      <diagonal/>
    </border>
    <border>
      <left style="hair">
        <color rgb="FFE6ECF2"/>
      </left>
      <right style="thin">
        <color rgb="FF000000"/>
      </right>
      <top style="hair">
        <color rgb="FFD9E2EC"/>
      </top>
      <bottom style="hair">
        <color rgb="FFD9E2EC"/>
      </bottom>
      <diagonal/>
    </border>
    <border>
      <left style="thin">
        <color rgb="FF000000"/>
      </left>
      <right style="hair">
        <color rgb="FFE6ECF2"/>
      </right>
      <top style="hair">
        <color rgb="FFD9E2EC"/>
      </top>
      <bottom style="thin">
        <color rgb="FF000000"/>
      </bottom>
      <diagonal/>
    </border>
    <border>
      <left style="hair">
        <color rgb="FFE6ECF2"/>
      </left>
      <right style="hair">
        <color rgb="FFE6ECF2"/>
      </right>
      <top style="hair">
        <color rgb="FFD9E2EC"/>
      </top>
      <bottom style="thin">
        <color rgb="FF000000"/>
      </bottom>
      <diagonal/>
    </border>
    <border>
      <left style="hair">
        <color rgb="FFE6ECF2"/>
      </left>
      <right style="thin">
        <color rgb="FF000000"/>
      </right>
      <top style="hair">
        <color rgb="FFD9E2EC"/>
      </top>
      <bottom style="thin">
        <color rgb="FF000000"/>
      </bottom>
      <diagonal/>
    </border>
    <border>
      <left/>
      <right style="hair">
        <color rgb="FFE6ECF2"/>
      </right>
      <top/>
      <bottom/>
      <diagonal/>
    </border>
    <border>
      <left style="hair">
        <color rgb="FFE6ECF2"/>
      </left>
      <right style="hair">
        <color rgb="FFE6ECF2"/>
      </right>
      <top style="medium">
        <color rgb="FF4F81BD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E6ECF2"/>
      </left>
      <right style="hair">
        <color rgb="FFE6ECF2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D9D9D9"/>
      </left>
      <right style="hair">
        <color rgb="FFE6ECF2"/>
      </right>
      <top/>
      <bottom style="hair">
        <color rgb="FFD9E2EC"/>
      </bottom>
      <diagonal/>
    </border>
    <border>
      <left/>
      <right style="hair">
        <color rgb="FFE6ECF2"/>
      </right>
      <top style="medium">
        <color rgb="FF4F81BD"/>
      </top>
      <bottom/>
      <diagonal/>
    </border>
    <border>
      <left style="hair">
        <color rgb="FFE6ECF2"/>
      </left>
      <right/>
      <top style="medium">
        <color rgb="FF4F81BD"/>
      </top>
      <bottom/>
      <diagonal/>
    </border>
    <border>
      <left style="hair">
        <color rgb="FFE6ECF2"/>
      </left>
      <right style="thin">
        <color rgb="FFD9D9D9"/>
      </right>
      <top/>
      <bottom style="hair">
        <color rgb="FFD9E2EC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D9D9D9"/>
      </left>
      <right style="hair">
        <color rgb="FFE6ECF2"/>
      </right>
      <top/>
      <bottom style="thin">
        <color rgb="FF000000"/>
      </bottom>
      <diagonal/>
    </border>
    <border>
      <left style="hair">
        <color rgb="FFE6ECF2"/>
      </left>
      <right style="thin">
        <color rgb="FFD9D9D9"/>
      </right>
      <top/>
      <bottom style="thin">
        <color rgb="FF000000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hair">
        <color rgb="FFE6ECF2"/>
      </left>
      <right style="hair">
        <color rgb="FFE6ECF2"/>
      </right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3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9" fontId="2" fillId="2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12" fillId="6" borderId="2" xfId="0" applyFont="1" applyFill="1" applyBorder="1" applyAlignment="1">
      <alignment vertical="center" wrapText="1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9" fontId="2" fillId="4" borderId="0" xfId="0" applyNumberFormat="1" applyFont="1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2" fillId="8" borderId="2" xfId="0" applyFont="1" applyFill="1" applyBorder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164" fontId="2" fillId="4" borderId="0" xfId="0" applyNumberFormat="1" applyFont="1" applyFill="1" applyAlignment="1">
      <alignment vertical="center" wrapText="1"/>
    </xf>
    <xf numFmtId="0" fontId="12" fillId="6" borderId="2" xfId="0" applyFont="1" applyFill="1" applyBorder="1" applyAlignment="1">
      <alignment horizontal="center" vertical="center" wrapText="1"/>
    </xf>
    <xf numFmtId="9" fontId="2" fillId="4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left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left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left"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left" vertical="center"/>
    </xf>
    <xf numFmtId="0" fontId="2" fillId="12" borderId="20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left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left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2" fillId="14" borderId="20" xfId="0" applyFont="1" applyFill="1" applyBorder="1" applyAlignment="1">
      <alignment horizontal="left" vertical="center"/>
    </xf>
    <xf numFmtId="0" fontId="2" fillId="14" borderId="20" xfId="0" applyFont="1" applyFill="1" applyBorder="1" applyAlignment="1">
      <alignment horizontal="center" vertical="center"/>
    </xf>
    <xf numFmtId="0" fontId="2" fillId="14" borderId="21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left" vertical="center"/>
    </xf>
    <xf numFmtId="0" fontId="2" fillId="16" borderId="11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left" vertical="center"/>
    </xf>
    <xf numFmtId="0" fontId="2" fillId="14" borderId="14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left" vertical="center"/>
    </xf>
    <xf numFmtId="0" fontId="2" fillId="16" borderId="17" xfId="0" applyFont="1" applyFill="1" applyBorder="1" applyAlignment="1">
      <alignment horizontal="center" vertical="center"/>
    </xf>
    <xf numFmtId="0" fontId="2" fillId="16" borderId="18" xfId="0" applyFont="1" applyFill="1" applyBorder="1" applyAlignment="1">
      <alignment horizontal="center" vertical="center"/>
    </xf>
    <xf numFmtId="0" fontId="2" fillId="16" borderId="20" xfId="0" applyFont="1" applyFill="1" applyBorder="1" applyAlignment="1">
      <alignment horizontal="left" vertical="center"/>
    </xf>
    <xf numFmtId="0" fontId="2" fillId="16" borderId="20" xfId="0" applyFont="1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 vertical="center"/>
    </xf>
    <xf numFmtId="0" fontId="2" fillId="16" borderId="14" xfId="0" applyFont="1" applyFill="1" applyBorder="1" applyAlignment="1">
      <alignment horizontal="left" vertical="center"/>
    </xf>
    <xf numFmtId="0" fontId="2" fillId="16" borderId="14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left" vertical="center"/>
    </xf>
    <xf numFmtId="0" fontId="16" fillId="9" borderId="19" xfId="0" applyFont="1" applyFill="1" applyBorder="1" applyAlignment="1">
      <alignment horizontal="left" vertical="center" wrapText="1"/>
    </xf>
    <xf numFmtId="0" fontId="16" fillId="9" borderId="16" xfId="0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left" vertical="center" wrapText="1"/>
    </xf>
    <xf numFmtId="0" fontId="16" fillId="9" borderId="13" xfId="0" applyFont="1" applyFill="1" applyBorder="1" applyAlignment="1">
      <alignment horizontal="left" vertical="center" wrapText="1"/>
    </xf>
    <xf numFmtId="0" fontId="16" fillId="11" borderId="19" xfId="0" applyFont="1" applyFill="1" applyBorder="1" applyAlignment="1">
      <alignment horizontal="left" vertical="center" wrapText="1"/>
    </xf>
    <xf numFmtId="0" fontId="16" fillId="11" borderId="16" xfId="0" applyFont="1" applyFill="1" applyBorder="1" applyAlignment="1">
      <alignment horizontal="left" vertical="center" wrapText="1"/>
    </xf>
    <xf numFmtId="0" fontId="16" fillId="11" borderId="10" xfId="0" applyFont="1" applyFill="1" applyBorder="1" applyAlignment="1">
      <alignment horizontal="left" vertical="center" wrapText="1"/>
    </xf>
    <xf numFmtId="0" fontId="16" fillId="11" borderId="13" xfId="0" applyFont="1" applyFill="1" applyBorder="1" applyAlignment="1">
      <alignment horizontal="left" vertical="center" wrapText="1"/>
    </xf>
    <xf numFmtId="0" fontId="16" fillId="13" borderId="19" xfId="0" applyFont="1" applyFill="1" applyBorder="1" applyAlignment="1">
      <alignment horizontal="left" vertical="center" wrapText="1"/>
    </xf>
    <xf numFmtId="0" fontId="16" fillId="13" borderId="16" xfId="0" applyFont="1" applyFill="1" applyBorder="1" applyAlignment="1">
      <alignment horizontal="left" vertical="center" wrapText="1"/>
    </xf>
    <xf numFmtId="0" fontId="16" fillId="13" borderId="10" xfId="0" applyFont="1" applyFill="1" applyBorder="1" applyAlignment="1">
      <alignment horizontal="left" vertical="center" wrapText="1"/>
    </xf>
    <xf numFmtId="0" fontId="16" fillId="13" borderId="13" xfId="0" applyFont="1" applyFill="1" applyBorder="1" applyAlignment="1">
      <alignment horizontal="left" vertical="center" wrapText="1"/>
    </xf>
    <xf numFmtId="0" fontId="16" fillId="15" borderId="19" xfId="0" applyFont="1" applyFill="1" applyBorder="1" applyAlignment="1">
      <alignment horizontal="left" vertical="center" wrapText="1"/>
    </xf>
    <xf numFmtId="0" fontId="16" fillId="15" borderId="16" xfId="0" applyFont="1" applyFill="1" applyBorder="1" applyAlignment="1">
      <alignment horizontal="left" vertical="center" wrapText="1"/>
    </xf>
    <xf numFmtId="0" fontId="16" fillId="15" borderId="10" xfId="0" applyFont="1" applyFill="1" applyBorder="1" applyAlignment="1">
      <alignment horizontal="left" vertical="center" wrapText="1"/>
    </xf>
    <xf numFmtId="0" fontId="16" fillId="15" borderId="13" xfId="0" applyFont="1" applyFill="1" applyBorder="1" applyAlignment="1">
      <alignment horizontal="left" vertical="center" wrapText="1"/>
    </xf>
    <xf numFmtId="0" fontId="16" fillId="15" borderId="0" xfId="0" applyFont="1" applyFill="1" applyAlignment="1">
      <alignment horizontal="left" vertical="center" wrapText="1"/>
    </xf>
    <xf numFmtId="0" fontId="2" fillId="16" borderId="19" xfId="0" applyFont="1" applyFill="1" applyBorder="1" applyAlignment="1">
      <alignment horizontal="left" vertical="center"/>
    </xf>
    <xf numFmtId="0" fontId="2" fillId="16" borderId="16" xfId="0" applyFont="1" applyFill="1" applyBorder="1" applyAlignment="1">
      <alignment horizontal="left" vertical="center"/>
    </xf>
    <xf numFmtId="0" fontId="2" fillId="16" borderId="10" xfId="0" applyFont="1" applyFill="1" applyBorder="1" applyAlignment="1">
      <alignment horizontal="left" vertical="center"/>
    </xf>
    <xf numFmtId="0" fontId="16" fillId="15" borderId="22" xfId="0" applyFont="1" applyFill="1" applyBorder="1" applyAlignment="1">
      <alignment horizontal="left" vertical="center" wrapText="1"/>
    </xf>
    <xf numFmtId="0" fontId="2" fillId="16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6" fillId="15" borderId="24" xfId="0" applyFont="1" applyFill="1" applyBorder="1" applyAlignment="1">
      <alignment horizontal="left" vertical="center" wrapText="1"/>
    </xf>
    <xf numFmtId="0" fontId="2" fillId="16" borderId="25" xfId="0" applyFont="1" applyFill="1" applyBorder="1" applyAlignment="1">
      <alignment horizontal="left" vertical="center"/>
    </xf>
    <xf numFmtId="0" fontId="2" fillId="16" borderId="25" xfId="0" applyFont="1" applyFill="1" applyBorder="1" applyAlignment="1">
      <alignment horizontal="center" vertical="center"/>
    </xf>
    <xf numFmtId="0" fontId="2" fillId="16" borderId="26" xfId="0" applyFont="1" applyFill="1" applyBorder="1" applyAlignment="1">
      <alignment horizontal="center" vertical="center"/>
    </xf>
    <xf numFmtId="0" fontId="16" fillId="15" borderId="27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center" vertical="center"/>
    </xf>
    <xf numFmtId="0" fontId="16" fillId="11" borderId="33" xfId="0" applyFont="1" applyFill="1" applyBorder="1" applyAlignment="1">
      <alignment horizontal="left" vertical="center" wrapText="1"/>
    </xf>
    <xf numFmtId="0" fontId="2" fillId="12" borderId="28" xfId="0" applyFont="1" applyFill="1" applyBorder="1" applyAlignment="1">
      <alignment horizontal="left" vertical="center"/>
    </xf>
    <xf numFmtId="0" fontId="2" fillId="12" borderId="28" xfId="0" applyFont="1" applyFill="1" applyBorder="1" applyAlignment="1">
      <alignment horizontal="center" vertical="center"/>
    </xf>
    <xf numFmtId="0" fontId="2" fillId="12" borderId="34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left" vertical="center" wrapText="1"/>
    </xf>
    <xf numFmtId="0" fontId="2" fillId="12" borderId="35" xfId="0" applyFont="1" applyFill="1" applyBorder="1" applyAlignment="1">
      <alignment horizontal="center" vertical="center"/>
    </xf>
    <xf numFmtId="0" fontId="16" fillId="11" borderId="37" xfId="0" applyFont="1" applyFill="1" applyBorder="1" applyAlignment="1">
      <alignment horizontal="left" vertical="center" wrapText="1"/>
    </xf>
    <xf numFmtId="0" fontId="2" fillId="12" borderId="30" xfId="0" applyFont="1" applyFill="1" applyBorder="1" applyAlignment="1">
      <alignment horizontal="left" vertical="center"/>
    </xf>
    <xf numFmtId="0" fontId="2" fillId="12" borderId="30" xfId="0" applyFont="1" applyFill="1" applyBorder="1" applyAlignment="1">
      <alignment horizontal="center" vertical="center"/>
    </xf>
    <xf numFmtId="0" fontId="2" fillId="12" borderId="38" xfId="0" applyFont="1" applyFill="1" applyBorder="1" applyAlignment="1">
      <alignment horizontal="center" vertical="center"/>
    </xf>
    <xf numFmtId="2" fontId="0" fillId="0" borderId="0" xfId="0" applyNumberFormat="1"/>
    <xf numFmtId="9" fontId="0" fillId="0" borderId="0" xfId="0" applyNumberFormat="1"/>
    <xf numFmtId="0" fontId="17" fillId="16" borderId="0" xfId="0" applyFont="1" applyFill="1"/>
    <xf numFmtId="0" fontId="21" fillId="16" borderId="0" xfId="0" applyFont="1" applyFill="1"/>
    <xf numFmtId="0" fontId="27" fillId="16" borderId="0" xfId="0" applyFont="1" applyFill="1"/>
    <xf numFmtId="0" fontId="2" fillId="2" borderId="45" xfId="0" applyFont="1" applyFill="1" applyBorder="1" applyAlignment="1">
      <alignment horizontal="center" vertical="center"/>
    </xf>
    <xf numFmtId="0" fontId="16" fillId="17" borderId="36" xfId="0" applyFont="1" applyFill="1" applyBorder="1" applyAlignment="1">
      <alignment horizontal="left" vertical="center" wrapText="1"/>
    </xf>
    <xf numFmtId="0" fontId="16" fillId="17" borderId="31" xfId="0" applyFont="1" applyFill="1" applyBorder="1" applyAlignment="1">
      <alignment horizontal="left" vertical="center" wrapText="1"/>
    </xf>
    <xf numFmtId="0" fontId="24" fillId="20" borderId="0" xfId="0" applyFont="1" applyFill="1" applyAlignment="1">
      <alignment horizontal="left"/>
    </xf>
    <xf numFmtId="0" fontId="18" fillId="18" borderId="0" xfId="0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22" fillId="19" borderId="39" xfId="0" applyFont="1" applyFill="1" applyBorder="1" applyAlignment="1">
      <alignment horizontal="center"/>
    </xf>
    <xf numFmtId="0" fontId="22" fillId="19" borderId="42" xfId="0" applyFont="1" applyFill="1" applyBorder="1" applyAlignment="1">
      <alignment horizontal="center"/>
    </xf>
    <xf numFmtId="0" fontId="23" fillId="2" borderId="40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23" fillId="2" borderId="44" xfId="0" applyFont="1" applyFill="1" applyBorder="1" applyAlignment="1">
      <alignment horizontal="center" vertical="center"/>
    </xf>
    <xf numFmtId="165" fontId="23" fillId="2" borderId="40" xfId="0" applyNumberFormat="1" applyFont="1" applyFill="1" applyBorder="1" applyAlignment="1">
      <alignment horizontal="center" vertical="center"/>
    </xf>
    <xf numFmtId="2" fontId="23" fillId="2" borderId="40" xfId="0" applyNumberFormat="1" applyFont="1" applyFill="1" applyBorder="1" applyAlignment="1">
      <alignment horizontal="center" vertical="center"/>
    </xf>
    <xf numFmtId="0" fontId="21" fillId="19" borderId="0" xfId="0" applyFont="1" applyFill="1" applyAlignment="1">
      <alignment horizontal="center"/>
    </xf>
    <xf numFmtId="9" fontId="28" fillId="22" borderId="0" xfId="0" applyNumberFormat="1" applyFont="1" applyFill="1" applyAlignment="1">
      <alignment horizontal="center"/>
    </xf>
    <xf numFmtId="0" fontId="28" fillId="22" borderId="0" xfId="0" applyFont="1" applyFill="1" applyAlignment="1">
      <alignment horizontal="center"/>
    </xf>
    <xf numFmtId="0" fontId="4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25" fillId="16" borderId="0" xfId="0" applyFont="1" applyFill="1" applyAlignment="1"/>
    <xf numFmtId="0" fontId="26" fillId="20" borderId="0" xfId="0" applyFont="1" applyFill="1" applyAlignment="1"/>
    <xf numFmtId="0" fontId="13" fillId="0" borderId="0" xfId="0" applyFont="1" applyAlignment="1"/>
  </cellXfs>
  <cellStyles count="1">
    <cellStyle name="Normal" xfId="0" builtinId="0"/>
  </cellStyles>
  <dxfs count="163"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F2F6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F2F6FF"/>
        </patternFill>
      </fill>
      <alignment vertical="center" wrapText="1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F9E3CD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numFmt numFmtId="13" formatCode="0%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F2F6FF"/>
        </patternFill>
      </fill>
      <alignment vertical="center" wrapText="1"/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F2F6FF"/>
        </patternFill>
      </fill>
      <alignment vertical="center" wrapText="1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numFmt numFmtId="0" formatCode="General"/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numFmt numFmtId="164" formatCode="dd/mm/yyyy"/>
      <fill>
        <patternFill patternType="solid">
          <fgColor indexed="64"/>
          <bgColor rgb="FFFFFFFF"/>
        </patternFill>
      </fill>
      <alignment horizontal="center"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F2F6FF"/>
        </patternFill>
      </fill>
      <alignment vertical="center" wrapText="1"/>
    </dxf>
    <dxf>
      <font>
        <color rgb="FF8A5A00"/>
      </font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color rgb="FF7A8491"/>
      </font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horizontal="left" vertical="center" wrapText="1"/>
    </dxf>
    <dxf>
      <font>
        <color rgb="FF262626"/>
      </font>
      <fill>
        <patternFill patternType="solid">
          <fgColor indexed="64"/>
          <bgColor rgb="FFFFFFFF"/>
        </patternFill>
      </fill>
      <alignment horizontal="left" vertical="center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  <charset val="1"/>
      </font>
      <fill>
        <patternFill patternType="solid">
          <fgColor indexed="64"/>
          <bgColor rgb="FFFFFFFF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1F43"/>
        <name val="Calibri"/>
        <charset val="1"/>
        <scheme val="none"/>
      </font>
      <fill>
        <patternFill patternType="solid">
          <fgColor indexed="64"/>
          <bgColor rgb="FFB9D5F3"/>
        </patternFill>
      </fill>
      <alignment vertical="center"/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/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Calibri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E6ECF2"/>
        </left>
        <right style="hair">
          <color rgb="FFE6ECF2"/>
        </right>
        <top/>
        <bottom style="hair">
          <color rgb="FFD9E2EC"/>
        </bottom>
        <vertical/>
        <horizontal/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Calibri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E6ECF2"/>
        </left>
        <right style="hair">
          <color rgb="FFE6ECF2"/>
        </right>
        <top/>
        <bottom style="hair">
          <color rgb="FFD9E2EC"/>
        </bottom>
        <vertical/>
        <horizontal/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left" vertical="center"/>
      <border diagonalUp="0" diagonalDown="0">
        <left style="hair">
          <color rgb="FFE6ECF2"/>
        </left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/>
        <right style="hair">
          <color rgb="FFE6ECF2"/>
        </right>
        <top style="hair">
          <color rgb="FFD9E2EC"/>
        </top>
        <bottom style="hair">
          <color rgb="FFD9E2EC"/>
        </bottom>
        <vertical style="hair">
          <color rgb="FFE6ECF2"/>
        </vertical>
        <horizontal style="hair">
          <color rgb="FFD9E2EC"/>
        </horizontal>
      </border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/>
    </dxf>
    <dxf>
      <font>
        <b/>
        <color rgb="FF001F43"/>
      </font>
      <fill>
        <patternFill patternType="solid">
          <fgColor indexed="64"/>
          <bgColor rgb="FFB9D5F3"/>
        </patternFill>
      </fill>
      <alignment vertical="center"/>
    </dxf>
    <dxf>
      <font>
        <b/>
        <i val="0"/>
        <color rgb="FF166534"/>
      </font>
      <fill>
        <patternFill patternType="solid">
          <fgColor indexed="64"/>
          <bgColor rgb="FFE8F5EE"/>
        </patternFill>
      </fill>
    </dxf>
    <dxf>
      <font>
        <b/>
        <i val="0"/>
        <color rgb="FF8A5A00"/>
      </font>
      <fill>
        <patternFill patternType="solid">
          <fgColor indexed="64"/>
          <bgColor rgb="FFFFF4D6"/>
        </patternFill>
      </fill>
    </dxf>
    <dxf>
      <font>
        <b/>
        <i val="0"/>
        <color rgb="FFB91C1C"/>
      </font>
      <fill>
        <patternFill patternType="solid">
          <fgColor indexed="64"/>
          <bgColor rgb="FFFD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D5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9DB9"/>
      <rgbColor rgb="FF001F43"/>
      <rgbColor rgb="FF339966"/>
      <rgbColor rgb="FF003300"/>
      <rgbColor rgb="FF333300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Điểm năng lực trung bình theo Domain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Điểm TB</c:v>
          </c:tx>
          <c:spPr>
            <a:solidFill>
              <a:srgbClr val="007C91"/>
            </a:solidFill>
            <a:ln>
              <a:noFill/>
            </a:ln>
            <a:effectLst/>
          </c:spPr>
          <c:invertIfNegative val="0"/>
          <c:cat>
            <c:strRef>
              <c:f>'Chart Data'!$A$2:$A$40</c:f>
              <c:strCache>
                <c:ptCount val="16"/>
                <c:pt idx="0">
                  <c:v>Server Basic</c:v>
                </c:pt>
                <c:pt idx="1">
                  <c:v>Windows Server</c:v>
                </c:pt>
                <c:pt idx="2">
                  <c:v>Network</c:v>
                </c:pt>
                <c:pt idx="3">
                  <c:v>Linux Server</c:v>
                </c:pt>
                <c:pt idx="4">
                  <c:v>Database (Deploy &amp; Basic configuration)</c:v>
                </c:pt>
                <c:pt idx="5">
                  <c:v>Wireless</c:v>
                </c:pt>
                <c:pt idx="6">
                  <c:v>Basic Database Querying</c:v>
                </c:pt>
                <c:pt idx="7">
                  <c:v>Log file analysis and troubleshooting</c:v>
                </c:pt>
                <c:pt idx="8">
                  <c:v>Firewall</c:v>
                </c:pt>
                <c:pt idx="9">
                  <c:v>Storage &amp; Backup</c:v>
                </c:pt>
                <c:pt idx="10">
                  <c:v>Virtualization</c:v>
                </c:pt>
                <c:pt idx="11">
                  <c:v>UC &amp; Contact Center</c:v>
                </c:pt>
                <c:pt idx="12">
                  <c:v>Security</c:v>
                </c:pt>
                <c:pt idx="13">
                  <c:v>Syslog &amp; Monitoring</c:v>
                </c:pt>
                <c:pt idx="14">
                  <c:v>Basic Programming</c:v>
                </c:pt>
                <c:pt idx="15">
                  <c:v>Container Platform</c:v>
                </c:pt>
              </c:strCache>
            </c:strRef>
          </c:cat>
          <c:val>
            <c:numRef>
              <c:f>'Chart Data'!$B$2:$B$40</c:f>
              <c:numCache>
                <c:formatCode>0.00</c:formatCode>
                <c:ptCount val="39"/>
                <c:pt idx="0">
                  <c:v>2</c:v>
                </c:pt>
                <c:pt idx="1">
                  <c:v>1.7638888888888888</c:v>
                </c:pt>
                <c:pt idx="2">
                  <c:v>1.40625</c:v>
                </c:pt>
                <c:pt idx="3">
                  <c:v>1.35</c:v>
                </c:pt>
                <c:pt idx="4">
                  <c:v>1.21875</c:v>
                </c:pt>
                <c:pt idx="5">
                  <c:v>1.2083333333333333</c:v>
                </c:pt>
                <c:pt idx="6">
                  <c:v>1.125</c:v>
                </c:pt>
                <c:pt idx="7">
                  <c:v>1.125</c:v>
                </c:pt>
                <c:pt idx="8">
                  <c:v>1.0625</c:v>
                </c:pt>
                <c:pt idx="9">
                  <c:v>1.0104166666666667</c:v>
                </c:pt>
                <c:pt idx="10">
                  <c:v>0.97916666666666663</c:v>
                </c:pt>
                <c:pt idx="11">
                  <c:v>0.95833333333333337</c:v>
                </c:pt>
                <c:pt idx="12">
                  <c:v>0.93670886075949367</c:v>
                </c:pt>
                <c:pt idx="13">
                  <c:v>0.90909090909090906</c:v>
                </c:pt>
                <c:pt idx="14">
                  <c:v>0.625</c:v>
                </c:pt>
                <c:pt idx="1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A-4BFB-B4BF-67B189D0D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4270855"/>
        <c:axId val="2024282631"/>
      </c:barChart>
      <c:catAx>
        <c:axId val="2024270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82631"/>
        <c:crosses val="autoZero"/>
        <c:auto val="1"/>
        <c:lblAlgn val="ctr"/>
        <c:lblOffset val="100"/>
        <c:noMultiLvlLbl val="0"/>
      </c:catAx>
      <c:valAx>
        <c:axId val="20242826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Điểm trung bình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7085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Điểm năng lực trung bình theo thành viên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Điểm TB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Data'!$E$2:$E$30</c:f>
              <c:strCache>
                <c:ptCount val="9"/>
                <c:pt idx="0">
                  <c:v>Sang</c:v>
                </c:pt>
                <c:pt idx="1">
                  <c:v>Duy</c:v>
                </c:pt>
                <c:pt idx="2">
                  <c:v>Tuấn</c:v>
                </c:pt>
                <c:pt idx="3">
                  <c:v>Long</c:v>
                </c:pt>
                <c:pt idx="4">
                  <c:v>Toàn</c:v>
                </c:pt>
                <c:pt idx="5">
                  <c:v>Bảo</c:v>
                </c:pt>
                <c:pt idx="6">
                  <c:v>Khánh</c:v>
                </c:pt>
                <c:pt idx="7">
                  <c:v>Thông</c:v>
                </c:pt>
                <c:pt idx="8">
                  <c:v>NV.A</c:v>
                </c:pt>
              </c:strCache>
            </c:strRef>
          </c:cat>
          <c:val>
            <c:numRef>
              <c:f>'Chart Data'!$F$2:$F$30</c:f>
              <c:numCache>
                <c:formatCode>0.00</c:formatCode>
                <c:ptCount val="29"/>
                <c:pt idx="0">
                  <c:v>1.6016949152542372</c:v>
                </c:pt>
                <c:pt idx="1">
                  <c:v>1.4957264957264957</c:v>
                </c:pt>
                <c:pt idx="2">
                  <c:v>1.423728813559322</c:v>
                </c:pt>
                <c:pt idx="3">
                  <c:v>1.0169491525423728</c:v>
                </c:pt>
                <c:pt idx="4">
                  <c:v>0.99152542372881358</c:v>
                </c:pt>
                <c:pt idx="5">
                  <c:v>0.9576271186440678</c:v>
                </c:pt>
                <c:pt idx="6">
                  <c:v>0.74576271186440679</c:v>
                </c:pt>
                <c:pt idx="7">
                  <c:v>0.72881355932203384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D-42A8-9EB6-C5874E749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129927"/>
        <c:axId val="2034131975"/>
      </c:barChart>
      <c:catAx>
        <c:axId val="203412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131975"/>
        <c:crosses val="autoZero"/>
        <c:auto val="1"/>
        <c:lblAlgn val="ctr"/>
        <c:lblOffset val="100"/>
        <c:noMultiLvlLbl val="0"/>
      </c:catAx>
      <c:valAx>
        <c:axId val="2034131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Điểm trung bình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12992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Tỷ lệ năng lực theo Domain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'Chart Data'!$K$1</c:f>
              <c:strCache>
                <c:ptCount val="1"/>
                <c:pt idx="0">
                  <c:v>Tuấn</c:v>
                </c:pt>
              </c:strCache>
            </c:strRef>
          </c:tx>
          <c:spPr>
            <a:ln w="31750" cap="rnd" cmpd="sng" algn="ctr">
              <a:solidFill>
                <a:srgbClr val="007C9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Data'!$J$2:$J$17</c:f>
              <c:strCache>
                <c:ptCount val="16"/>
                <c:pt idx="0">
                  <c:v>Basic Database Querying</c:v>
                </c:pt>
                <c:pt idx="1">
                  <c:v>Basic Programming</c:v>
                </c:pt>
                <c:pt idx="2">
                  <c:v>Container Platform</c:v>
                </c:pt>
                <c:pt idx="3">
                  <c:v>Database (Deploy &amp; Basic configuration)</c:v>
                </c:pt>
                <c:pt idx="4">
                  <c:v>Firewall</c:v>
                </c:pt>
                <c:pt idx="5">
                  <c:v>Linux Server</c:v>
                </c:pt>
                <c:pt idx="6">
                  <c:v>Log file analysis and troubleshooting</c:v>
                </c:pt>
                <c:pt idx="7">
                  <c:v>Network</c:v>
                </c:pt>
                <c:pt idx="8">
                  <c:v>Security</c:v>
                </c:pt>
                <c:pt idx="9">
                  <c:v>Server Basic</c:v>
                </c:pt>
                <c:pt idx="10">
                  <c:v>Storage &amp; Backup</c:v>
                </c:pt>
                <c:pt idx="11">
                  <c:v>Syslog &amp; Monitoring</c:v>
                </c:pt>
                <c:pt idx="12">
                  <c:v>UC &amp; Contact Center</c:v>
                </c:pt>
                <c:pt idx="13">
                  <c:v>Virtualization</c:v>
                </c:pt>
                <c:pt idx="14">
                  <c:v>Windows Server</c:v>
                </c:pt>
                <c:pt idx="15">
                  <c:v>Wireless</c:v>
                </c:pt>
              </c:strCache>
            </c:strRef>
          </c:cat>
          <c:val>
            <c:numRef>
              <c:f>'Chart Data'!$K$2:$K$17</c:f>
              <c:numCache>
                <c:formatCode>0%</c:formatCode>
                <c:ptCount val="16"/>
                <c:pt idx="0">
                  <c:v>0.625</c:v>
                </c:pt>
                <c:pt idx="1">
                  <c:v>0.375</c:v>
                </c:pt>
                <c:pt idx="2">
                  <c:v>0.375</c:v>
                </c:pt>
                <c:pt idx="3">
                  <c:v>0.75</c:v>
                </c:pt>
                <c:pt idx="4">
                  <c:v>0.75</c:v>
                </c:pt>
                <c:pt idx="5">
                  <c:v>0.8</c:v>
                </c:pt>
                <c:pt idx="6">
                  <c:v>0.5</c:v>
                </c:pt>
                <c:pt idx="7">
                  <c:v>0.8125</c:v>
                </c:pt>
                <c:pt idx="8">
                  <c:v>0.8</c:v>
                </c:pt>
                <c:pt idx="9">
                  <c:v>1</c:v>
                </c:pt>
                <c:pt idx="10">
                  <c:v>0.70833333333333337</c:v>
                </c:pt>
                <c:pt idx="11">
                  <c:v>0.59090909090909094</c:v>
                </c:pt>
                <c:pt idx="12">
                  <c:v>0.70833333333333337</c:v>
                </c:pt>
                <c:pt idx="13">
                  <c:v>0.5</c:v>
                </c:pt>
                <c:pt idx="14">
                  <c:v>1</c:v>
                </c:pt>
                <c:pt idx="15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7-4514-89C6-46BC0FD3770E}"/>
            </c:ext>
          </c:extLst>
        </c:ser>
        <c:ser>
          <c:idx val="1"/>
          <c:order val="1"/>
          <c:tx>
            <c:strRef>
              <c:f>'Chart Data'!$L$1</c:f>
              <c:strCache>
                <c:ptCount val="1"/>
                <c:pt idx="0">
                  <c:v>Trung bình đội</c:v>
                </c:pt>
              </c:strCache>
            </c:strRef>
          </c:tx>
          <c:spPr>
            <a:ln w="19050" cap="rnd">
              <a:solidFill>
                <a:srgbClr val="A5A5A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Data'!$J$2:$J$17</c:f>
              <c:strCache>
                <c:ptCount val="16"/>
                <c:pt idx="0">
                  <c:v>Basic Database Querying</c:v>
                </c:pt>
                <c:pt idx="1">
                  <c:v>Basic Programming</c:v>
                </c:pt>
                <c:pt idx="2">
                  <c:v>Container Platform</c:v>
                </c:pt>
                <c:pt idx="3">
                  <c:v>Database (Deploy &amp; Basic configuration)</c:v>
                </c:pt>
                <c:pt idx="4">
                  <c:v>Firewall</c:v>
                </c:pt>
                <c:pt idx="5">
                  <c:v>Linux Server</c:v>
                </c:pt>
                <c:pt idx="6">
                  <c:v>Log file analysis and troubleshooting</c:v>
                </c:pt>
                <c:pt idx="7">
                  <c:v>Network</c:v>
                </c:pt>
                <c:pt idx="8">
                  <c:v>Security</c:v>
                </c:pt>
                <c:pt idx="9">
                  <c:v>Server Basic</c:v>
                </c:pt>
                <c:pt idx="10">
                  <c:v>Storage &amp; Backup</c:v>
                </c:pt>
                <c:pt idx="11">
                  <c:v>Syslog &amp; Monitoring</c:v>
                </c:pt>
                <c:pt idx="12">
                  <c:v>UC &amp; Contact Center</c:v>
                </c:pt>
                <c:pt idx="13">
                  <c:v>Virtualization</c:v>
                </c:pt>
                <c:pt idx="14">
                  <c:v>Windows Server</c:v>
                </c:pt>
                <c:pt idx="15">
                  <c:v>Wireless</c:v>
                </c:pt>
              </c:strCache>
            </c:strRef>
          </c:cat>
          <c:val>
            <c:numRef>
              <c:f>'Chart Data'!$L$2:$L$17</c:f>
              <c:numCache>
                <c:formatCode>0%</c:formatCode>
                <c:ptCount val="16"/>
                <c:pt idx="0">
                  <c:v>0.5625</c:v>
                </c:pt>
                <c:pt idx="1">
                  <c:v>0.3125</c:v>
                </c:pt>
                <c:pt idx="2">
                  <c:v>0.25</c:v>
                </c:pt>
                <c:pt idx="3">
                  <c:v>0.609375</c:v>
                </c:pt>
                <c:pt idx="4">
                  <c:v>0.53125</c:v>
                </c:pt>
                <c:pt idx="5">
                  <c:v>0.67500000000000004</c:v>
                </c:pt>
                <c:pt idx="6">
                  <c:v>0.5625</c:v>
                </c:pt>
                <c:pt idx="7">
                  <c:v>0.703125</c:v>
                </c:pt>
                <c:pt idx="8">
                  <c:v>0.46835443037974683</c:v>
                </c:pt>
                <c:pt idx="9">
                  <c:v>1</c:v>
                </c:pt>
                <c:pt idx="10">
                  <c:v>0.50520833333333337</c:v>
                </c:pt>
                <c:pt idx="11">
                  <c:v>0.45454545454545453</c:v>
                </c:pt>
                <c:pt idx="12">
                  <c:v>0.47916666666666669</c:v>
                </c:pt>
                <c:pt idx="13">
                  <c:v>0.48958333333333331</c:v>
                </c:pt>
                <c:pt idx="14">
                  <c:v>0.88194444444444442</c:v>
                </c:pt>
                <c:pt idx="15">
                  <c:v>0.60416666666666663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7-4514-89C6-46BC0FD3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07400"/>
        <c:axId val="226114056"/>
      </c:radarChart>
      <c:catAx>
        <c:axId val="22610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14056"/>
        <c:crosses val="autoZero"/>
        <c:auto val="1"/>
        <c:lblAlgn val="ctr"/>
        <c:lblOffset val="100"/>
        <c:noMultiLvlLbl val="0"/>
      </c:catAx>
      <c:valAx>
        <c:axId val="2261140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07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Tỷ lệ từng Skill trong Domain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Tỷ lệ năng lực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Data'!$R$2:$R$13</c:f>
              <c:strCache>
                <c:ptCount val="9"/>
                <c:pt idx="0">
                  <c:v>Windows Server Administration</c:v>
                </c:pt>
                <c:pt idx="1">
                  <c:v>Active Directory Domain Services (AD DS)</c:v>
                </c:pt>
                <c:pt idx="2">
                  <c:v>Group Policy (GPO)</c:v>
                </c:pt>
                <c:pt idx="3">
                  <c:v>Active Directory Certificate Services (AD CS)</c:v>
                </c:pt>
                <c:pt idx="4">
                  <c:v>DNS</c:v>
                </c:pt>
                <c:pt idx="5">
                  <c:v>DHCP</c:v>
                </c:pt>
                <c:pt idx="6">
                  <c:v>IIS</c:v>
                </c:pt>
                <c:pt idx="7">
                  <c:v>Failover Clustering</c:v>
                </c:pt>
                <c:pt idx="8">
                  <c:v>File Services</c:v>
                </c:pt>
              </c:strCache>
            </c:strRef>
          </c:cat>
          <c:val>
            <c:numRef>
              <c:f>'Chart Data'!$S$2:$S$13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DAD7CA7-3052-420F-8A75-A16FC0E6F4AC}"/>
            </c:ext>
          </c:extLst>
        </c:ser>
        <c:ser>
          <c:idx val="2"/>
          <c:order val="1"/>
          <c:tx>
            <c:v>Chuẩn Skill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Data'!$R$2:$R$13</c:f>
              <c:strCache>
                <c:ptCount val="9"/>
                <c:pt idx="0">
                  <c:v>Windows Server Administration</c:v>
                </c:pt>
                <c:pt idx="1">
                  <c:v>Active Directory Domain Services (AD DS)</c:v>
                </c:pt>
                <c:pt idx="2">
                  <c:v>Group Policy (GPO)</c:v>
                </c:pt>
                <c:pt idx="3">
                  <c:v>Active Directory Certificate Services (AD CS)</c:v>
                </c:pt>
                <c:pt idx="4">
                  <c:v>DNS</c:v>
                </c:pt>
                <c:pt idx="5">
                  <c:v>DHCP</c:v>
                </c:pt>
                <c:pt idx="6">
                  <c:v>IIS</c:v>
                </c:pt>
                <c:pt idx="7">
                  <c:v>Failover Clustering</c:v>
                </c:pt>
                <c:pt idx="8">
                  <c:v>File Services</c:v>
                </c:pt>
              </c:strCache>
            </c:strRef>
          </c:cat>
          <c:val>
            <c:numRef>
              <c:f>'Chart Data'!$T$2:$T$13</c:f>
              <c:numCache>
                <c:formatCode>0%</c:formatCode>
                <c:ptCount val="1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13C5113-4039-482F-9855-B2D2A4FD8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9342728"/>
        <c:axId val="549459464"/>
      </c:barChart>
      <c:catAx>
        <c:axId val="5493427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59464"/>
        <c:crosses val="autoZero"/>
        <c:auto val="1"/>
        <c:lblAlgn val="ctr"/>
        <c:lblOffset val="100"/>
        <c:noMultiLvlLbl val="0"/>
      </c:catAx>
      <c:valAx>
        <c:axId val="549459464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42728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3" name="Năng lực theo Domain">
          <a:extLst>
            <a:ext uri="{FF2B5EF4-FFF2-40B4-BE49-F238E27FC236}">
              <a16:creationId xmlns:a16="http://schemas.microsoft.com/office/drawing/2014/main" id="{251B3070-6A94-1092-9A5A-765CD9164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13</xdr:col>
      <xdr:colOff>828675</xdr:colOff>
      <xdr:row>30</xdr:row>
      <xdr:rowOff>142875</xdr:rowOff>
    </xdr:to>
    <xdr:graphicFrame macro="">
      <xdr:nvGraphicFramePr>
        <xdr:cNvPr id="96" name="Năng lực theo Thành viên">
          <a:extLst>
            <a:ext uri="{FF2B5EF4-FFF2-40B4-BE49-F238E27FC236}">
              <a16:creationId xmlns:a16="http://schemas.microsoft.com/office/drawing/2014/main" id="{2AEC7C29-BBE9-4960-0EF7-CA4984B1682F}"/>
            </a:ext>
            <a:ext uri="{147F2762-F138-4A5C-976F-8EAC2B608ADB}">
              <a16:predDERef xmlns:a16="http://schemas.microsoft.com/office/drawing/2014/main" pred="{251B3070-6A94-1092-9A5A-765CD9164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0</xdr:colOff>
      <xdr:row>60</xdr:row>
      <xdr:rowOff>0</xdr:rowOff>
    </xdr:to>
    <xdr:graphicFrame macro="">
      <xdr:nvGraphicFramePr>
        <xdr:cNvPr id="9" name="Hồ sơ năng lực theo thành viên">
          <a:extLst>
            <a:ext uri="{FF2B5EF4-FFF2-40B4-BE49-F238E27FC236}">
              <a16:creationId xmlns:a16="http://schemas.microsoft.com/office/drawing/2014/main" id="{5B6A4CF2-6136-75BD-80C4-EA304A5A136A}"/>
            </a:ext>
            <a:ext uri="{147F2762-F138-4A5C-976F-8EAC2B608ADB}">
              <a16:predDERef xmlns:a16="http://schemas.microsoft.com/office/drawing/2014/main" pred="{2AEC7C29-BBE9-4960-0EF7-CA4984B16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0</xdr:colOff>
      <xdr:row>60</xdr:row>
      <xdr:rowOff>0</xdr:rowOff>
    </xdr:to>
    <xdr:graphicFrame macro="">
      <xdr:nvGraphicFramePr>
        <xdr:cNvPr id="10" name="Tỷ lệ Skill theo Domain">
          <a:extLst>
            <a:ext uri="{FF2B5EF4-FFF2-40B4-BE49-F238E27FC236}">
              <a16:creationId xmlns:a16="http://schemas.microsoft.com/office/drawing/2014/main" id="{6FFC4711-0BF6-2FFA-0E27-A8455B09FFD6}"/>
            </a:ext>
            <a:ext uri="{147F2762-F138-4A5C-976F-8EAC2B608ADB}">
              <a16:predDERef xmlns:a16="http://schemas.microsoft.com/office/drawing/2014/main" pred="{5B6A4CF2-6136-75BD-80C4-EA304A5A1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Matrix" displayName="SkillMatrix" ref="A1:N109" totalsRowShown="0" headerRowDxfId="159" dataDxfId="158" headerRowBorderDxfId="156" tableBorderDxfId="157">
  <autoFilter ref="A1:N109" xr:uid="{00000000-0009-0000-0100-000001000000}"/>
  <tableColumns count="14">
    <tableColumn id="1" xr3:uid="{00000000-0010-0000-0000-000001000000}" name="Domain" dataDxfId="155"/>
    <tableColumn id="2" xr3:uid="{00000000-0010-0000-0000-000002000000}" name="Skill" dataDxfId="154"/>
    <tableColumn id="3" xr3:uid="{00000000-0010-0000-0000-000003000000}" name="Toàn" dataDxfId="153"/>
    <tableColumn id="4" xr3:uid="{00000000-0010-0000-0000-000004000000}" name="Long" dataDxfId="152"/>
    <tableColumn id="5" xr3:uid="{00000000-0010-0000-0000-000005000000}" name="Tuấn" dataDxfId="151"/>
    <tableColumn id="14" xr3:uid="{2DA8B92D-E4D8-43D4-835C-6A785BE1EEEF}" name="Duy" dataDxfId="150"/>
    <tableColumn id="6" xr3:uid="{00000000-0010-0000-0000-000006000000}" name="Sang" dataDxfId="149"/>
    <tableColumn id="7" xr3:uid="{00000000-0010-0000-0000-000007000000}" name="Bảo" dataDxfId="148"/>
    <tableColumn id="9" xr3:uid="{00000000-0010-0000-0000-000009000000}" name="Thông" dataDxfId="147"/>
    <tableColumn id="10" xr3:uid="{00000000-0010-0000-0000-00000A000000}" name="Khánh" dataDxfId="146"/>
    <tableColumn id="8" xr3:uid="{3F38F872-328E-40A0-80AF-74CF86F16370}" name="NV.A" dataDxfId="145"/>
    <tableColumn id="11" xr3:uid="{00000000-0010-0000-0000-00000B000000}" name="Owner" dataDxfId="144"/>
    <tableColumn id="12" xr3:uid="{00000000-0010-0000-0000-00000C000000}" name="Backup" dataDxfId="143"/>
    <tableColumn id="13" xr3:uid="{00000000-0010-0000-0000-00000D000000}" name="SME" dataDxfId="14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E43A63-FCC8-47D2-8D29-B3CD26A5CA7A}" name="CompetencyLevels" displayName="CompetencyLevels" ref="A1:C4" totalsRowShown="0" headerRowDxfId="141" dataDxfId="140" headerRowBorderDxfId="138" tableBorderDxfId="139">
  <autoFilter ref="A1:C4" xr:uid="{7BE43A63-FCC8-47D2-8D29-B3CD26A5CA7A}"/>
  <tableColumns count="3">
    <tableColumn id="1" xr3:uid="{A1E08CD2-2FDC-4630-AB54-C19ECCD72789}" name="Level" dataDxfId="137"/>
    <tableColumn id="2" xr3:uid="{3BBCE84B-FC70-41E0-8429-8993C7A3D66B}" name="Tên mức" dataDxfId="136"/>
    <tableColumn id="3" xr3:uid="{55421B70-FCE8-4112-B75D-05D949A78DFC}" name="Mô tả năng lực" dataDxfId="13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AD0F9-2035-447C-B05E-A532409AECB3}" name="ProjectList" displayName="ProjectList" ref="A9:Z29" totalsRowShown="0" headerRowDxfId="121" dataDxfId="120" headerRowBorderDxfId="118" tableBorderDxfId="119">
  <autoFilter ref="A9:Z29" xr:uid="{416AD0F9-2035-447C-B05E-A532409AECB3}"/>
  <tableColumns count="26">
    <tableColumn id="1" xr3:uid="{8F245A48-02BA-4F21-B6BE-FF962233F16E}" name="Mã dự án" dataDxfId="117"/>
    <tableColumn id="2" xr3:uid="{614FDEA2-4F71-4B48-8248-6F41247B74C6}" name="Tên dự án" dataDxfId="116"/>
    <tableColumn id="3" xr3:uid="{281ECFE3-FA74-444B-A2A8-575417E58256}" name="Trạng thái" dataDxfId="115"/>
    <tableColumn id="4" xr3:uid="{A8B70160-0EE0-4CB6-9B79-39E9AD10FAF8}" name="Loại dự án" dataDxfId="114"/>
    <tableColumn id="5" xr3:uid="{A2238747-3858-4B32-9A46-E413D8976AC7}" name="Ngày bắt đầu" dataDxfId="113"/>
    <tableColumn id="6" xr3:uid="{EF4953C0-0603-449F-90E7-B853F91EE7EE}" name="Ngày hoàn thành KH" dataDxfId="112"/>
    <tableColumn id="7" xr3:uid="{69377B32-16C9-4C1D-A6A0-EBB029F231FF}" name="Phụ trách dự án" dataDxfId="111"/>
    <tableColumn id="8" xr3:uid="{8B1725F6-6B7B-482A-8D49-E6BE2D188DA8}" name="Thành viên tham gia" dataDxfId="110">
      <calculatedColumnFormula array="1">IF(A10="","",_xlfn.TEXTJOIN(", ",TRUE,IF(M10:T10="Có",M$9:T$9,"")))</calculatedColumnFormula>
    </tableColumn>
    <tableColumn id="9" xr3:uid="{4945B1A8-5679-48AF-9201-C70937DF4B8B}" name="Mục tiêu / Phạm vi" dataDxfId="109"/>
    <tableColumn id="10" xr3:uid="{A0F48EBF-23BA-4AE7-A7E9-23AE9A5AF3DB}" name="Số thành phần" dataDxfId="108">
      <calculatedColumnFormula>IF(A10="","",COUNTIF($B$34:$B$127,A10))</calculatedColumnFormula>
    </tableColumn>
    <tableColumn id="11" xr3:uid="{1E7EC2EB-A208-4F67-A29F-DAA549245597}" name="Tiến độ" dataDxfId="107">
      <calculatedColumnFormula>IF(A10="","",IFERROR(COUNTIFS($B$34:$B$127,A10,$H$34:$H$127,"Hoàn thành")/COUNTIF($B$34:$B$127,A10),0))</calculatedColumnFormula>
    </tableColumn>
    <tableColumn id="12" xr3:uid="{7938A2C9-526E-4693-BC6F-9CD68324A090}" name="Ghi chú" dataDxfId="106"/>
    <tableColumn id="13" xr3:uid="{A6254F4C-945D-4548-92F6-A1493241F1C9}" name="Toàn" dataDxfId="105"/>
    <tableColumn id="14" xr3:uid="{19941876-57DE-478C-91C5-50BDE0E913C6}" name="Long" dataDxfId="104"/>
    <tableColumn id="15" xr3:uid="{DA39183A-E0F9-4810-BFAB-EB751EB40B48}" name="Tuấn" dataDxfId="103"/>
    <tableColumn id="16" xr3:uid="{A8D047D0-9B0D-4004-962B-F11E1D466F54}" name="Sang" dataDxfId="102"/>
    <tableColumn id="17" xr3:uid="{DE4B618B-5F2E-46C7-BD64-CECC2CF49F26}" name="Bảo" dataDxfId="101"/>
    <tableColumn id="18" xr3:uid="{BFAAEF1D-76D5-421B-85A7-33C91594F7AC}" name="Thi" dataDxfId="100"/>
    <tableColumn id="19" xr3:uid="{8BCCCF80-53D7-4E47-A8F6-12FE29E31ED5}" name="Thông" dataDxfId="99"/>
    <tableColumn id="20" xr3:uid="{32F1E655-B0CF-49C0-8A24-8A8E0D49E740}" name="Khánh" dataDxfId="98"/>
    <tableColumn id="21" xr3:uid="{8F182579-D347-422B-93D5-16774CC12027}" name="Sponsor" dataDxfId="97"/>
    <tableColumn id="22" xr3:uid="{D1424032-5C55-4B88-BD32-3DC4425B845D}" name="Người giám sát" dataDxfId="96"/>
    <tableColumn id="23" xr3:uid="{EC241E1E-F59F-4570-8E32-78F9BE5CF331}" name="Ưu tiên" dataDxfId="95"/>
    <tableColumn id="24" xr3:uid="{CB72EDC1-F388-4E04-B193-5A9BB0112A69}" name="Sức khỏe RAG" dataDxfId="94"/>
    <tableColumn id="25" xr3:uid="{05E838D4-0DC8-4CDF-A81D-34D700E85DF8}" name="Giai đoạn" dataDxfId="93"/>
    <tableColumn id="26" xr3:uid="{AB52F762-C4CB-46A1-9BF9-4D18B22F6634}" name="Ngày cập nhật" dataDxfId="92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1D4BA9-967B-44D9-AFB5-C80202328153}" name="ProjectComponents" displayName="ProjectComponents" ref="A33:L127" totalsRowShown="0" headerRowDxfId="91" dataDxfId="90" headerRowBorderDxfId="88" tableBorderDxfId="89">
  <autoFilter ref="A33:L127" xr:uid="{F21D4BA9-967B-44D9-AFB5-C80202328153}"/>
  <tableColumns count="12">
    <tableColumn id="1" xr3:uid="{7A23D3E8-533E-40A5-A609-A12D3D317D58}" name="Mã hạng mục" dataDxfId="87"/>
    <tableColumn id="2" xr3:uid="{7DF4B74F-0B36-4D6F-9154-52157DC905A4}" name="Mã dự án" dataDxfId="86"/>
    <tableColumn id="3" xr3:uid="{817A35BB-096D-4858-9867-AD7264C8553F}" name="Domain" dataDxfId="85"/>
    <tableColumn id="4" xr3:uid="{F5923646-B4CD-4321-94CA-8A8D9CF4C4F2}" name="Skill / Thành phần" dataDxfId="84"/>
    <tableColumn id="5" xr3:uid="{59D0A603-9E6F-47A5-A966-6931DCC160FF}" name="Phụ trách hạng mục" dataDxfId="83"/>
    <tableColumn id="6" xr3:uid="{6A6EBF18-9E13-48BF-ADB3-76346391CDBB}" name="Người tham gia" dataDxfId="82"/>
    <tableColumn id="7" xr3:uid="{8D4CDDF0-DD6F-4C73-BED5-8815BC01BFFE}" name="Vai trò / Trách nhiệm" dataDxfId="81"/>
    <tableColumn id="8" xr3:uid="{694D5162-9369-46E2-9243-411D13FA308D}" name="Trạng thái" dataDxfId="80"/>
    <tableColumn id="9" xr3:uid="{D18487F2-4CBC-46E8-99D3-A1F6D46F60ED}" name="Ngày bắt đầu" dataDxfId="79"/>
    <tableColumn id="10" xr3:uid="{A08479BB-9062-4996-BEB0-B43F5FACB6C8}" name="Ngày hoàn thành" dataDxfId="78"/>
    <tableColumn id="11" xr3:uid="{EB96B50F-8087-4007-A858-2F4A7C965504}" name="Kết quả / Bằng chứng" dataDxfId="77"/>
    <tableColumn id="12" xr3:uid="{840CB2ED-587E-4DF0-B5B1-406976E7212F}" name="Ghi chú" dataDxfId="76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699F7D-1DC4-4DC1-81AD-C5C669961EC9}" name="MilestoneLog" displayName="MilestoneLog" ref="A8:J28" totalsRowShown="0" headerRowDxfId="61" dataDxfId="60" headerRowBorderDxfId="58" tableBorderDxfId="59">
  <autoFilter ref="A8:J28" xr:uid="{3A699F7D-1DC4-4DC1-81AD-C5C669961EC9}"/>
  <tableColumns count="10">
    <tableColumn id="1" xr3:uid="{74AFE630-685C-4E88-9326-14B525A0F16F}" name="Mã mốc" dataDxfId="57">
      <calculatedColumnFormula>IF(B9="","","MS-"&amp;TEXT(ROW()-8,"000"))</calculatedColumnFormula>
    </tableColumn>
    <tableColumn id="2" xr3:uid="{000796CD-8464-4573-95A5-2ABBDCF7D475}" name="Mã dự án" dataDxfId="56"/>
    <tableColumn id="3" xr3:uid="{4A2B4143-D9B7-4F07-8B93-D515F13808CE}" name="Mốc / Kết quả" dataDxfId="55"/>
    <tableColumn id="4" xr3:uid="{8F429679-E232-4361-8CBA-01BEAE4BD47A}" name="Owner" dataDxfId="54"/>
    <tableColumn id="5" xr3:uid="{93FEC99C-100A-430E-9A76-2CE3C8B04631}" name="Hạn KH" dataDxfId="53"/>
    <tableColumn id="6" xr3:uid="{DDFF9268-CB1C-4F57-816F-AD2AC201FE14}" name="Ngày hoàn thành" dataDxfId="52"/>
    <tableColumn id="7" xr3:uid="{42BE0171-1686-42DE-94FB-F5B57CBAD027}" name="Trạng thái" dataDxfId="51"/>
    <tableColumn id="8" xr3:uid="{677AEFAB-2018-465C-A57A-493A724AC313}" name="% hoàn thành" dataDxfId="50"/>
    <tableColumn id="9" xr3:uid="{ABCBD413-C07D-4910-ADC3-BFA413386124}" name="Phụ thuộc" dataDxfId="49"/>
    <tableColumn id="10" xr3:uid="{6A983963-AD95-4A06-B40F-A2713A50EB39}" name="Ghi chú" dataDxfId="48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7C6B51-549D-4578-8CFB-69F933A5105E}" name="RiskIssueLog" displayName="RiskIssueLog" ref="A32:L52" totalsRowShown="0" headerRowDxfId="47" dataDxfId="46" headerRowBorderDxfId="44" tableBorderDxfId="45">
  <autoFilter ref="A32:L52" xr:uid="{567C6B51-549D-4578-8CFB-69F933A5105E}"/>
  <tableColumns count="12">
    <tableColumn id="1" xr3:uid="{E91F71AA-A556-4BAD-858E-5E7A249EE973}" name="Mã R/I" dataDxfId="43">
      <calculatedColumnFormula>IF(B33="","","RI-"&amp;TEXT(ROW()-32,"000"))</calculatedColumnFormula>
    </tableColumn>
    <tableColumn id="2" xr3:uid="{66944434-AE6A-4BD1-B2B4-76B476815735}" name="Mã dự án" dataDxfId="42"/>
    <tableColumn id="3" xr3:uid="{7187B4D0-299A-442D-86A9-53157E620E04}" name="Loại" dataDxfId="41"/>
    <tableColumn id="4" xr3:uid="{C233841B-313E-44BE-B79D-F90B206D8D1D}" name="Mô tả" dataDxfId="40"/>
    <tableColumn id="5" xr3:uid="{86B24DBC-47AA-428D-B63B-8399E139B9F1}" name="Xác suất" dataDxfId="39"/>
    <tableColumn id="6" xr3:uid="{8678E158-BBB8-47EC-93E4-4ACCDA6E3D47}" name="Tác động" dataDxfId="38"/>
    <tableColumn id="7" xr3:uid="{069DB18C-BF7B-46AC-BC4C-03352D35969D}" name="Mức độ" dataDxfId="37">
      <calculatedColumnFormula>IF(OR(E33="",F33=""),"",IF(MATCH(E33,{"Thấp","Trung bình","Cao"},0)*MATCH(F33,{"Thấp","Trung bình","Cao"},0)&gt;=6,"Cao",IF(MATCH(E33,{"Thấp","Trung bình","Cao"},0)*MATCH(F33,{"Thấp","Trung bình","Cao"},0)&gt;=3,"Trung bình","Thấp")))</calculatedColumnFormula>
    </tableColumn>
    <tableColumn id="8" xr3:uid="{FFD5DEB1-66D5-4DFD-A17F-2D47FD758600}" name="Owner" dataDxfId="36"/>
    <tableColumn id="9" xr3:uid="{0B8B66C5-8B5F-47E4-8A7F-DC33384C8ED1}" name="Hạn xử lý" dataDxfId="35"/>
    <tableColumn id="10" xr3:uid="{762656EF-83AE-4A32-84C6-2F33D1271CAE}" name="Trạng thái" dataDxfId="34"/>
    <tableColumn id="11" xr3:uid="{BB86AFEA-F0D7-49A2-BF7F-44D4664DCFC1}" name="Biện pháp xử lý" dataDxfId="33"/>
    <tableColumn id="12" xr3:uid="{F3EDE965-FA73-43F8-BC69-2D99FF75CBA8}" name="Cập nhật gần nhất" dataDxfId="32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F10F27-39A0-49BF-BBBC-39EE6C5FC676}" name="DecisionChangeLog" displayName="DecisionChangeLog" ref="A56:L76" totalsRowShown="0" headerRowDxfId="31" dataDxfId="30" headerRowBorderDxfId="28" tableBorderDxfId="29">
  <autoFilter ref="A56:L76" xr:uid="{50F10F27-39A0-49BF-BBBC-39EE6C5FC676}"/>
  <tableColumns count="12">
    <tableColumn id="1" xr3:uid="{D2720B89-2F30-420C-996C-957A1EA1D4D0}" name="Mã D/C" dataDxfId="27">
      <calculatedColumnFormula>IF(B57="","","DC-"&amp;TEXT(ROW()-56,"000"))</calculatedColumnFormula>
    </tableColumn>
    <tableColumn id="2" xr3:uid="{681144AF-9030-46F8-A540-E1C95439CA7D}" name="Mã dự án" dataDxfId="26"/>
    <tableColumn id="3" xr3:uid="{5A5F9B90-9376-491B-8EF3-1A9DED9D8B41}" name="Loại" dataDxfId="25"/>
    <tableColumn id="4" xr3:uid="{2FAB6E99-1F99-41E8-8ED6-79005453CB21}" name="Nội dung" dataDxfId="24"/>
    <tableColumn id="5" xr3:uid="{7866FF69-4DF1-4CEC-A899-EEEB7FBADB97}" name="Người đề xuất" dataDxfId="23"/>
    <tableColumn id="6" xr3:uid="{18A96ABA-5924-4BA9-9B6F-FAEC8B3CFF74}" name="Ngày đề xuất" dataDxfId="22"/>
    <tableColumn id="7" xr3:uid="{FD247E44-24BA-4373-A6BB-67220858D170}" name="Người phê duyệt" dataDxfId="21"/>
    <tableColumn id="8" xr3:uid="{82AFCDE1-F734-466C-ABB6-F9B6CD4A3436}" name="Trạng thái" dataDxfId="20"/>
    <tableColumn id="9" xr3:uid="{14C6AFD2-FE57-4E07-877E-F5EB418D0A0F}" name="Ngày quyết định" dataDxfId="19"/>
    <tableColumn id="10" xr3:uid="{43748B28-15C3-401B-8056-4B84D9DB9487}" name="Ảnh hưởng phạm vi/tiến độ" dataDxfId="18"/>
    <tableColumn id="11" xr3:uid="{A2EF6ABC-B62F-4690-8D15-98FB17460E51}" name="Hành động tiếp theo" dataDxfId="17"/>
    <tableColumn id="12" xr3:uid="{49A3DD36-636C-409B-B054-B7BF75ACBDA2}" name="Ghi chú" dataDxfId="16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12636B-AEDE-4324-BEE0-8FA401EBCE42}" name="AcceptanceLog" displayName="AcceptanceLog" ref="A80:L100" totalsRowShown="0" headerRowDxfId="15" dataDxfId="14" headerRowBorderDxfId="12" tableBorderDxfId="13">
  <autoFilter ref="A80:L100" xr:uid="{8B12636B-AEDE-4324-BEE0-8FA401EBCE42}"/>
  <tableColumns count="12">
    <tableColumn id="1" xr3:uid="{C62A2E9B-9A6B-4FDB-B79D-6E2EBBB352CE}" name="Mã NT" dataDxfId="11">
      <calculatedColumnFormula>IF(B81="","","NT-"&amp;TEXT(ROW()-80,"000"))</calculatedColumnFormula>
    </tableColumn>
    <tableColumn id="2" xr3:uid="{E551D428-2BCC-4835-A500-DC98A9E42E38}" name="Mã dự án" dataDxfId="10"/>
    <tableColumn id="3" xr3:uid="{C8A053FD-4003-48C2-A9C1-5FCEDE92FA61}" name="Hạng mục / Deliverable" dataDxfId="9"/>
    <tableColumn id="4" xr3:uid="{002476A4-5A6C-4CD2-BBA5-0B80C55AD711}" name="Tiêu chí nghiệm thu" dataDxfId="8"/>
    <tableColumn id="5" xr3:uid="{6D0C430D-5447-4D02-B921-412C3399E67F}" name="Người nghiệm thu" dataDxfId="7"/>
    <tableColumn id="6" xr3:uid="{3206F134-F546-40BF-9A93-9FA98C669877}" name="Ngày dự kiến" dataDxfId="6"/>
    <tableColumn id="7" xr3:uid="{0ED872E9-C475-428A-BA3C-42AC7117DB32}" name="Ngày thực tế" dataDxfId="5"/>
    <tableColumn id="8" xr3:uid="{B2B3B06C-B28D-43A1-9887-49D16A09C685}" name="Trạng thái" dataDxfId="4"/>
    <tableColumn id="9" xr3:uid="{959AB683-A611-449B-AE76-F4DF11957E3D}" name="Bằng chứng / Tài liệu" dataDxfId="3"/>
    <tableColumn id="10" xr3:uid="{6DD3B243-DA87-42E4-BB8E-B9D8D6C9EDBA}" name="Bàn giao vận hành" dataDxfId="2"/>
    <tableColumn id="11" xr3:uid="{A7F8B78D-9E60-415C-94F6-9A463F092444}" name="Hành động tồn đọng" dataDxfId="1"/>
    <tableColumn id="12" xr3:uid="{349C73B3-6E09-465C-82CD-17FD26924912}" name="Ghi chú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zoomScaleNormal="100" workbookViewId="0">
      <pane ySplit="1" topLeftCell="A82" activePane="bottomLeft" state="frozen"/>
      <selection pane="bottomLeft" activeCell="K56" sqref="K56"/>
    </sheetView>
  </sheetViews>
  <sheetFormatPr defaultColWidth="8.42578125" defaultRowHeight="15"/>
  <cols>
    <col min="1" max="1" width="43.5703125" customWidth="1"/>
    <col min="2" max="2" width="42.140625" customWidth="1"/>
    <col min="3" max="11" width="11" customWidth="1"/>
    <col min="12" max="14" width="15.5703125" customWidth="1"/>
    <col min="15" max="15" width="24" customWidth="1"/>
  </cols>
  <sheetData>
    <row r="1" spans="1:16" ht="27.75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/>
      <c r="P1" s="1"/>
    </row>
    <row r="2" spans="1:16">
      <c r="A2" s="88" t="s">
        <v>14</v>
      </c>
      <c r="B2" s="45" t="s">
        <v>15</v>
      </c>
      <c r="C2" s="46" t="s">
        <v>16</v>
      </c>
      <c r="D2" s="42" t="s">
        <v>16</v>
      </c>
      <c r="E2" s="42" t="s">
        <v>16</v>
      </c>
      <c r="F2" s="42" t="s">
        <v>16</v>
      </c>
      <c r="G2" s="46" t="s">
        <v>16</v>
      </c>
      <c r="H2" s="42" t="s">
        <v>16</v>
      </c>
      <c r="I2" s="42" t="s">
        <v>16</v>
      </c>
      <c r="J2" s="42" t="s">
        <v>16</v>
      </c>
      <c r="K2" s="42"/>
      <c r="L2" s="47"/>
      <c r="M2" s="47"/>
      <c r="N2" s="48"/>
      <c r="O2" s="1"/>
      <c r="P2" s="1"/>
    </row>
    <row r="3" spans="1:16">
      <c r="A3" s="89" t="s">
        <v>14</v>
      </c>
      <c r="B3" s="41" t="s">
        <v>17</v>
      </c>
      <c r="C3" s="42" t="s">
        <v>16</v>
      </c>
      <c r="D3" s="42" t="s">
        <v>16</v>
      </c>
      <c r="E3" s="42" t="s">
        <v>16</v>
      </c>
      <c r="F3" s="42" t="s">
        <v>16</v>
      </c>
      <c r="G3" s="42" t="s">
        <v>16</v>
      </c>
      <c r="H3" s="42" t="s">
        <v>16</v>
      </c>
      <c r="I3" s="42" t="s">
        <v>16</v>
      </c>
      <c r="J3" s="42" t="s">
        <v>16</v>
      </c>
      <c r="K3" s="42"/>
      <c r="L3" s="43"/>
      <c r="M3" s="43"/>
      <c r="N3" s="44"/>
      <c r="O3" s="1"/>
      <c r="P3" s="1"/>
    </row>
    <row r="4" spans="1:16">
      <c r="A4" s="90" t="s">
        <v>14</v>
      </c>
      <c r="B4" s="38" t="s">
        <v>18</v>
      </c>
      <c r="C4" s="42" t="s">
        <v>16</v>
      </c>
      <c r="D4" s="42" t="s">
        <v>19</v>
      </c>
      <c r="E4" s="42" t="s">
        <v>19</v>
      </c>
      <c r="F4" s="42" t="s">
        <v>16</v>
      </c>
      <c r="G4" s="42" t="s">
        <v>16</v>
      </c>
      <c r="H4" s="42" t="s">
        <v>19</v>
      </c>
      <c r="I4" s="42" t="s">
        <v>20</v>
      </c>
      <c r="J4" s="42" t="s">
        <v>19</v>
      </c>
      <c r="K4" s="42"/>
      <c r="L4" s="39"/>
      <c r="M4" s="39"/>
      <c r="N4" s="40"/>
      <c r="O4" s="1"/>
      <c r="P4" s="1"/>
    </row>
    <row r="5" spans="1:16">
      <c r="A5" s="90" t="s">
        <v>14</v>
      </c>
      <c r="B5" s="38" t="s">
        <v>21</v>
      </c>
      <c r="C5" s="42" t="s">
        <v>20</v>
      </c>
      <c r="D5" s="42" t="s">
        <v>19</v>
      </c>
      <c r="E5" s="42" t="s">
        <v>19</v>
      </c>
      <c r="F5" s="42" t="s">
        <v>19</v>
      </c>
      <c r="G5" s="42" t="s">
        <v>19</v>
      </c>
      <c r="H5" s="42" t="s">
        <v>19</v>
      </c>
      <c r="I5" s="42" t="s">
        <v>20</v>
      </c>
      <c r="J5" s="42" t="s">
        <v>20</v>
      </c>
      <c r="K5" s="42"/>
      <c r="L5" s="39"/>
      <c r="M5" s="39"/>
      <c r="N5" s="40"/>
      <c r="O5" s="1"/>
      <c r="P5" s="1"/>
    </row>
    <row r="6" spans="1:16">
      <c r="A6" s="90" t="s">
        <v>14</v>
      </c>
      <c r="B6" s="38" t="s">
        <v>22</v>
      </c>
      <c r="C6" s="42" t="s">
        <v>20</v>
      </c>
      <c r="D6" s="42" t="s">
        <v>20</v>
      </c>
      <c r="E6" s="42" t="s">
        <v>16</v>
      </c>
      <c r="F6" s="42" t="s">
        <v>16</v>
      </c>
      <c r="G6" s="42" t="s">
        <v>16</v>
      </c>
      <c r="H6" s="42" t="s">
        <v>19</v>
      </c>
      <c r="I6" s="42" t="s">
        <v>20</v>
      </c>
      <c r="J6" s="42" t="s">
        <v>20</v>
      </c>
      <c r="K6" s="42"/>
      <c r="L6" s="39"/>
      <c r="M6" s="39"/>
      <c r="N6" s="40"/>
      <c r="O6" s="1"/>
      <c r="P6" s="1"/>
    </row>
    <row r="7" spans="1:16">
      <c r="A7" s="90" t="s">
        <v>14</v>
      </c>
      <c r="B7" s="38" t="s">
        <v>23</v>
      </c>
      <c r="C7" s="42" t="s">
        <v>19</v>
      </c>
      <c r="D7" s="42" t="s">
        <v>20</v>
      </c>
      <c r="E7" s="42" t="s">
        <v>19</v>
      </c>
      <c r="F7" s="42" t="s">
        <v>16</v>
      </c>
      <c r="G7" s="42" t="s">
        <v>16</v>
      </c>
      <c r="H7" s="42" t="s">
        <v>16</v>
      </c>
      <c r="I7" s="42" t="s">
        <v>19</v>
      </c>
      <c r="J7" s="42" t="s">
        <v>16</v>
      </c>
      <c r="K7" s="42"/>
      <c r="L7" s="39"/>
      <c r="M7" s="39"/>
      <c r="N7" s="40"/>
      <c r="O7" s="1"/>
      <c r="P7" s="1"/>
    </row>
    <row r="8" spans="1:16">
      <c r="A8" s="90" t="s">
        <v>14</v>
      </c>
      <c r="B8" s="38" t="s">
        <v>24</v>
      </c>
      <c r="C8" s="42" t="s">
        <v>16</v>
      </c>
      <c r="D8" s="42" t="s">
        <v>19</v>
      </c>
      <c r="E8" s="42" t="s">
        <v>16</v>
      </c>
      <c r="F8" s="42" t="s">
        <v>16</v>
      </c>
      <c r="G8" s="42" t="s">
        <v>16</v>
      </c>
      <c r="H8" s="42" t="s">
        <v>16</v>
      </c>
      <c r="I8" s="42" t="s">
        <v>16</v>
      </c>
      <c r="J8" s="42" t="s">
        <v>19</v>
      </c>
      <c r="K8" s="42"/>
      <c r="L8" s="39"/>
      <c r="M8" s="39"/>
      <c r="N8" s="40"/>
      <c r="O8" s="1"/>
      <c r="P8" s="1"/>
    </row>
    <row r="9" spans="1:16">
      <c r="A9" s="90" t="s">
        <v>14</v>
      </c>
      <c r="B9" s="32" t="s">
        <v>25</v>
      </c>
      <c r="C9" s="42" t="s">
        <v>16</v>
      </c>
      <c r="D9" s="42" t="s">
        <v>20</v>
      </c>
      <c r="E9" s="42" t="s">
        <v>20</v>
      </c>
      <c r="F9" s="42" t="s">
        <v>20</v>
      </c>
      <c r="G9" s="42" t="s">
        <v>16</v>
      </c>
      <c r="H9" s="42" t="s">
        <v>20</v>
      </c>
      <c r="I9" s="42" t="s">
        <v>20</v>
      </c>
      <c r="J9" s="42" t="s">
        <v>20</v>
      </c>
      <c r="K9" s="42"/>
      <c r="L9" s="33"/>
      <c r="M9" s="33"/>
      <c r="N9" s="34"/>
      <c r="O9" s="1"/>
      <c r="P9" s="1"/>
    </row>
    <row r="10" spans="1:16">
      <c r="A10" s="90" t="s">
        <v>14</v>
      </c>
      <c r="B10" s="32" t="s">
        <v>26</v>
      </c>
      <c r="C10" s="42" t="s">
        <v>19</v>
      </c>
      <c r="D10" s="42" t="s">
        <v>20</v>
      </c>
      <c r="E10" s="42" t="s">
        <v>19</v>
      </c>
      <c r="F10" s="42" t="s">
        <v>20</v>
      </c>
      <c r="G10" s="42" t="s">
        <v>20</v>
      </c>
      <c r="H10" s="42" t="s">
        <v>20</v>
      </c>
      <c r="I10" s="42" t="s">
        <v>20</v>
      </c>
      <c r="J10" s="42" t="s">
        <v>20</v>
      </c>
      <c r="K10" s="42"/>
      <c r="L10" s="33"/>
      <c r="M10" s="33"/>
      <c r="N10" s="34"/>
      <c r="O10" s="1"/>
      <c r="P10" s="1"/>
    </row>
    <row r="11" spans="1:16">
      <c r="A11" s="90" t="s">
        <v>14</v>
      </c>
      <c r="B11" s="38" t="s">
        <v>27</v>
      </c>
      <c r="C11" s="42" t="s">
        <v>20</v>
      </c>
      <c r="D11" s="42" t="s">
        <v>20</v>
      </c>
      <c r="E11" s="42" t="s">
        <v>20</v>
      </c>
      <c r="F11" s="42" t="s">
        <v>16</v>
      </c>
      <c r="G11" s="42" t="s">
        <v>16</v>
      </c>
      <c r="H11" s="42" t="s">
        <v>20</v>
      </c>
      <c r="I11" s="42" t="s">
        <v>20</v>
      </c>
      <c r="J11" s="42" t="s">
        <v>20</v>
      </c>
      <c r="K11" s="42"/>
      <c r="L11" s="39"/>
      <c r="M11" s="39"/>
      <c r="N11" s="40"/>
      <c r="O11" s="1"/>
      <c r="P11" s="1"/>
    </row>
    <row r="12" spans="1:16">
      <c r="A12" s="90" t="s">
        <v>14</v>
      </c>
      <c r="B12" s="38" t="s">
        <v>28</v>
      </c>
      <c r="C12" s="42" t="s">
        <v>20</v>
      </c>
      <c r="D12" s="42" t="s">
        <v>20</v>
      </c>
      <c r="E12" s="42" t="s">
        <v>20</v>
      </c>
      <c r="F12" s="42" t="s">
        <v>19</v>
      </c>
      <c r="G12" s="42" t="s">
        <v>19</v>
      </c>
      <c r="H12" s="42" t="s">
        <v>20</v>
      </c>
      <c r="I12" s="42" t="s">
        <v>20</v>
      </c>
      <c r="J12" s="42" t="s">
        <v>20</v>
      </c>
      <c r="K12" s="42"/>
      <c r="L12" s="39"/>
      <c r="M12" s="39"/>
      <c r="N12" s="40"/>
      <c r="O12" s="1"/>
      <c r="P12" s="1"/>
    </row>
    <row r="13" spans="1:16">
      <c r="A13" s="91" t="s">
        <v>14</v>
      </c>
      <c r="B13" s="52" t="s">
        <v>29</v>
      </c>
      <c r="C13" s="42" t="s">
        <v>20</v>
      </c>
      <c r="D13" s="42" t="s">
        <v>20</v>
      </c>
      <c r="E13" s="42" t="s">
        <v>20</v>
      </c>
      <c r="F13" s="42" t="s">
        <v>19</v>
      </c>
      <c r="G13" s="42" t="s">
        <v>16</v>
      </c>
      <c r="H13" s="42" t="s">
        <v>20</v>
      </c>
      <c r="I13" s="42" t="s">
        <v>20</v>
      </c>
      <c r="J13" s="42" t="s">
        <v>20</v>
      </c>
      <c r="K13" s="134"/>
      <c r="L13" s="53"/>
      <c r="M13" s="53"/>
      <c r="N13" s="54"/>
      <c r="O13" s="1"/>
      <c r="P13" s="1"/>
    </row>
    <row r="14" spans="1:16">
      <c r="A14" s="96" t="s">
        <v>30</v>
      </c>
      <c r="B14" s="45" t="s">
        <v>31</v>
      </c>
      <c r="C14" s="46" t="s">
        <v>16</v>
      </c>
      <c r="D14" s="46" t="s">
        <v>16</v>
      </c>
      <c r="E14" s="46" t="s">
        <v>16</v>
      </c>
      <c r="F14" s="46" t="s">
        <v>16</v>
      </c>
      <c r="G14" s="46" t="s">
        <v>16</v>
      </c>
      <c r="H14" s="46" t="s">
        <v>16</v>
      </c>
      <c r="I14" s="46" t="s">
        <v>19</v>
      </c>
      <c r="J14" s="46" t="s">
        <v>16</v>
      </c>
      <c r="K14" s="46"/>
      <c r="L14" s="70"/>
      <c r="M14" s="70"/>
      <c r="N14" s="71"/>
      <c r="O14" s="1"/>
      <c r="P14" s="1"/>
    </row>
    <row r="15" spans="1:16">
      <c r="A15" s="97" t="s">
        <v>30</v>
      </c>
      <c r="B15" s="38" t="s">
        <v>32</v>
      </c>
      <c r="C15" s="42" t="s">
        <v>19</v>
      </c>
      <c r="D15" s="42" t="s">
        <v>16</v>
      </c>
      <c r="E15" s="42" t="s">
        <v>16</v>
      </c>
      <c r="F15" s="42" t="s">
        <v>16</v>
      </c>
      <c r="G15" s="42" t="s">
        <v>16</v>
      </c>
      <c r="H15" s="42" t="s">
        <v>16</v>
      </c>
      <c r="I15" s="42" t="s">
        <v>19</v>
      </c>
      <c r="J15" s="42" t="s">
        <v>16</v>
      </c>
      <c r="K15" s="42"/>
      <c r="L15" s="67"/>
      <c r="M15" s="67"/>
      <c r="N15" s="68"/>
      <c r="O15" s="1"/>
      <c r="P15" s="1"/>
    </row>
    <row r="16" spans="1:16">
      <c r="A16" s="98" t="s">
        <v>30</v>
      </c>
      <c r="B16" s="38" t="s">
        <v>33</v>
      </c>
      <c r="C16" s="42" t="s">
        <v>19</v>
      </c>
      <c r="D16" s="42" t="s">
        <v>19</v>
      </c>
      <c r="E16" s="42" t="s">
        <v>16</v>
      </c>
      <c r="F16" s="42" t="s">
        <v>19</v>
      </c>
      <c r="G16" s="42" t="s">
        <v>16</v>
      </c>
      <c r="H16" s="42" t="s">
        <v>16</v>
      </c>
      <c r="I16" s="42" t="s">
        <v>19</v>
      </c>
      <c r="J16" s="42" t="s">
        <v>16</v>
      </c>
      <c r="K16" s="42"/>
      <c r="L16" s="62"/>
      <c r="M16" s="62"/>
      <c r="N16" s="63"/>
      <c r="O16" s="1"/>
      <c r="P16" s="1"/>
    </row>
    <row r="17" spans="1:16">
      <c r="A17" s="98" t="s">
        <v>30</v>
      </c>
      <c r="B17" s="38" t="s">
        <v>34</v>
      </c>
      <c r="C17" s="42" t="s">
        <v>19</v>
      </c>
      <c r="D17" s="42" t="s">
        <v>19</v>
      </c>
      <c r="E17" s="42" t="s">
        <v>16</v>
      </c>
      <c r="F17" s="42" t="s">
        <v>16</v>
      </c>
      <c r="G17" s="42" t="s">
        <v>16</v>
      </c>
      <c r="H17" s="42" t="s">
        <v>16</v>
      </c>
      <c r="I17" s="42" t="s">
        <v>19</v>
      </c>
      <c r="J17" s="42" t="s">
        <v>19</v>
      </c>
      <c r="K17" s="42"/>
      <c r="L17" s="62"/>
      <c r="M17" s="62"/>
      <c r="N17" s="63"/>
      <c r="O17" s="1"/>
      <c r="P17" s="1"/>
    </row>
    <row r="18" spans="1:16">
      <c r="A18" s="98" t="s">
        <v>30</v>
      </c>
      <c r="B18" s="38" t="s">
        <v>35</v>
      </c>
      <c r="C18" s="42" t="s">
        <v>19</v>
      </c>
      <c r="D18" s="42" t="s">
        <v>16</v>
      </c>
      <c r="E18" s="42" t="s">
        <v>16</v>
      </c>
      <c r="F18" s="42" t="s">
        <v>16</v>
      </c>
      <c r="G18" s="42" t="s">
        <v>16</v>
      </c>
      <c r="H18" s="42" t="s">
        <v>16</v>
      </c>
      <c r="I18" s="42" t="s">
        <v>16</v>
      </c>
      <c r="J18" s="42" t="s">
        <v>16</v>
      </c>
      <c r="K18" s="42"/>
      <c r="L18" s="62"/>
      <c r="M18" s="62"/>
      <c r="N18" s="63"/>
      <c r="O18" s="1"/>
      <c r="P18" s="1"/>
    </row>
    <row r="19" spans="1:16">
      <c r="A19" s="98" t="s">
        <v>30</v>
      </c>
      <c r="B19" s="38" t="s">
        <v>36</v>
      </c>
      <c r="C19" s="42" t="s">
        <v>16</v>
      </c>
      <c r="D19" s="42" t="s">
        <v>16</v>
      </c>
      <c r="E19" s="42" t="s">
        <v>16</v>
      </c>
      <c r="F19" s="42" t="s">
        <v>16</v>
      </c>
      <c r="G19" s="42" t="s">
        <v>16</v>
      </c>
      <c r="H19" s="42" t="s">
        <v>16</v>
      </c>
      <c r="I19" s="42" t="s">
        <v>16</v>
      </c>
      <c r="J19" s="42" t="s">
        <v>16</v>
      </c>
      <c r="K19" s="42"/>
      <c r="L19" s="33"/>
      <c r="M19" s="33"/>
      <c r="N19" s="34"/>
      <c r="O19" s="1"/>
      <c r="P19" s="1"/>
    </row>
    <row r="20" spans="1:16">
      <c r="A20" s="98" t="s">
        <v>30</v>
      </c>
      <c r="B20" s="38" t="s">
        <v>37</v>
      </c>
      <c r="C20" s="42" t="s">
        <v>19</v>
      </c>
      <c r="D20" s="42" t="s">
        <v>16</v>
      </c>
      <c r="E20" s="42" t="s">
        <v>16</v>
      </c>
      <c r="F20" s="42" t="s">
        <v>16</v>
      </c>
      <c r="G20" s="42" t="s">
        <v>19</v>
      </c>
      <c r="H20" s="42" t="s">
        <v>16</v>
      </c>
      <c r="I20" s="42" t="s">
        <v>16</v>
      </c>
      <c r="J20" s="42" t="s">
        <v>16</v>
      </c>
      <c r="K20" s="42"/>
      <c r="L20" s="62"/>
      <c r="M20" s="62"/>
      <c r="N20" s="63"/>
      <c r="O20" s="1"/>
      <c r="P20" s="1"/>
    </row>
    <row r="21" spans="1:16">
      <c r="A21" s="98" t="s">
        <v>30</v>
      </c>
      <c r="B21" s="38" t="s">
        <v>38</v>
      </c>
      <c r="C21" s="42" t="s">
        <v>19</v>
      </c>
      <c r="D21" s="42" t="s">
        <v>16</v>
      </c>
      <c r="E21" s="42" t="s">
        <v>16</v>
      </c>
      <c r="F21" s="42" t="s">
        <v>16</v>
      </c>
      <c r="G21" s="42" t="s">
        <v>16</v>
      </c>
      <c r="H21" s="42" t="s">
        <v>16</v>
      </c>
      <c r="I21" s="42" t="s">
        <v>16</v>
      </c>
      <c r="J21" s="42" t="s">
        <v>19</v>
      </c>
      <c r="K21" s="42"/>
      <c r="L21" s="33"/>
      <c r="M21" s="33"/>
      <c r="N21" s="34"/>
      <c r="O21" s="1"/>
      <c r="P21" s="1"/>
    </row>
    <row r="22" spans="1:16">
      <c r="A22" s="99" t="s">
        <v>30</v>
      </c>
      <c r="B22" s="38" t="s">
        <v>39</v>
      </c>
      <c r="C22" s="42" t="s">
        <v>19</v>
      </c>
      <c r="D22" s="42" t="s">
        <v>16</v>
      </c>
      <c r="E22" s="42" t="s">
        <v>16</v>
      </c>
      <c r="F22" s="42" t="s">
        <v>16</v>
      </c>
      <c r="G22" s="42" t="s">
        <v>16</v>
      </c>
      <c r="H22" s="42" t="s">
        <v>16</v>
      </c>
      <c r="I22" s="42" t="s">
        <v>16</v>
      </c>
      <c r="J22" s="42" t="s">
        <v>16</v>
      </c>
      <c r="K22" s="134"/>
      <c r="L22" s="76"/>
      <c r="M22" s="76"/>
      <c r="N22" s="77"/>
      <c r="O22" s="1"/>
      <c r="P22" s="1"/>
    </row>
    <row r="23" spans="1:16">
      <c r="A23" s="100" t="s">
        <v>40</v>
      </c>
      <c r="B23" s="81" t="s">
        <v>41</v>
      </c>
      <c r="C23" s="46" t="s">
        <v>16</v>
      </c>
      <c r="D23" s="46" t="s">
        <v>16</v>
      </c>
      <c r="E23" s="46" t="s">
        <v>16</v>
      </c>
      <c r="F23" s="46" t="s">
        <v>16</v>
      </c>
      <c r="G23" s="46" t="s">
        <v>16</v>
      </c>
      <c r="H23" s="46" t="s">
        <v>16</v>
      </c>
      <c r="I23" s="46" t="s">
        <v>16</v>
      </c>
      <c r="J23" s="46" t="s">
        <v>16</v>
      </c>
      <c r="K23" s="46"/>
      <c r="L23" s="82"/>
      <c r="M23" s="82"/>
      <c r="N23" s="83"/>
      <c r="O23" s="1"/>
      <c r="P23" s="1"/>
    </row>
    <row r="24" spans="1:16">
      <c r="A24" s="101" t="s">
        <v>40</v>
      </c>
      <c r="B24" s="78" t="s">
        <v>42</v>
      </c>
      <c r="C24" s="42" t="s">
        <v>16</v>
      </c>
      <c r="D24" s="42" t="s">
        <v>16</v>
      </c>
      <c r="E24" s="42" t="s">
        <v>16</v>
      </c>
      <c r="F24" s="42" t="s">
        <v>16</v>
      </c>
      <c r="G24" s="42" t="s">
        <v>16</v>
      </c>
      <c r="H24" s="42" t="s">
        <v>16</v>
      </c>
      <c r="I24" s="42" t="s">
        <v>20</v>
      </c>
      <c r="J24" s="42" t="s">
        <v>20</v>
      </c>
      <c r="K24" s="42"/>
      <c r="L24" s="79"/>
      <c r="M24" s="79"/>
      <c r="N24" s="80"/>
      <c r="O24" s="1"/>
      <c r="P24" s="1"/>
    </row>
    <row r="25" spans="1:16">
      <c r="A25" s="101" t="s">
        <v>40</v>
      </c>
      <c r="B25" s="32" t="s">
        <v>43</v>
      </c>
      <c r="C25" s="42" t="s">
        <v>19</v>
      </c>
      <c r="D25" s="42" t="s">
        <v>16</v>
      </c>
      <c r="E25" s="42" t="s">
        <v>16</v>
      </c>
      <c r="F25" s="42" t="s">
        <v>16</v>
      </c>
      <c r="G25" s="42" t="s">
        <v>16</v>
      </c>
      <c r="H25" s="42" t="s">
        <v>16</v>
      </c>
      <c r="I25" s="42" t="s">
        <v>16</v>
      </c>
      <c r="J25" s="42" t="s">
        <v>19</v>
      </c>
      <c r="K25" s="42"/>
      <c r="L25" s="33"/>
      <c r="M25" s="33"/>
      <c r="N25" s="34"/>
      <c r="O25" s="1"/>
      <c r="P25" s="1"/>
    </row>
    <row r="26" spans="1:16">
      <c r="A26" s="102" t="s">
        <v>40</v>
      </c>
      <c r="B26" s="72" t="s">
        <v>44</v>
      </c>
      <c r="C26" s="42" t="s">
        <v>19</v>
      </c>
      <c r="D26" s="42" t="s">
        <v>20</v>
      </c>
      <c r="E26" s="42" t="s">
        <v>19</v>
      </c>
      <c r="F26" s="42" t="s">
        <v>19</v>
      </c>
      <c r="G26" s="42" t="s">
        <v>16</v>
      </c>
      <c r="H26" s="42" t="s">
        <v>19</v>
      </c>
      <c r="I26" s="42" t="s">
        <v>19</v>
      </c>
      <c r="J26" s="42" t="s">
        <v>16</v>
      </c>
      <c r="K26" s="42"/>
      <c r="L26" s="73"/>
      <c r="M26" s="73"/>
      <c r="N26" s="74"/>
      <c r="O26" s="1"/>
      <c r="P26" s="1"/>
    </row>
    <row r="27" spans="1:16">
      <c r="A27" s="102" t="s">
        <v>40</v>
      </c>
      <c r="B27" s="72" t="s">
        <v>45</v>
      </c>
      <c r="C27" s="42" t="s">
        <v>19</v>
      </c>
      <c r="D27" s="42" t="s">
        <v>19</v>
      </c>
      <c r="E27" s="42" t="s">
        <v>19</v>
      </c>
      <c r="F27" s="42" t="s">
        <v>19</v>
      </c>
      <c r="G27" s="42" t="s">
        <v>19</v>
      </c>
      <c r="H27" s="42" t="s">
        <v>19</v>
      </c>
      <c r="I27" s="42" t="s">
        <v>19</v>
      </c>
      <c r="J27" s="42" t="s">
        <v>19</v>
      </c>
      <c r="K27" s="42"/>
      <c r="L27" s="73"/>
      <c r="M27" s="73"/>
      <c r="N27" s="74"/>
      <c r="O27" s="1"/>
      <c r="P27" s="1"/>
    </row>
    <row r="28" spans="1:16">
      <c r="A28" s="101" t="s">
        <v>40</v>
      </c>
      <c r="B28" s="32" t="s">
        <v>46</v>
      </c>
      <c r="C28" s="42" t="s">
        <v>19</v>
      </c>
      <c r="D28" s="42" t="s">
        <v>19</v>
      </c>
      <c r="E28" s="42" t="s">
        <v>16</v>
      </c>
      <c r="F28" s="42" t="s">
        <v>16</v>
      </c>
      <c r="G28" s="42" t="s">
        <v>16</v>
      </c>
      <c r="H28" s="42" t="s">
        <v>16</v>
      </c>
      <c r="I28" s="42" t="s">
        <v>19</v>
      </c>
      <c r="J28" s="42" t="s">
        <v>16</v>
      </c>
      <c r="K28" s="42"/>
      <c r="L28" s="33"/>
      <c r="M28" s="33"/>
      <c r="N28" s="34"/>
      <c r="O28" s="1"/>
      <c r="P28" s="1"/>
    </row>
    <row r="29" spans="1:16">
      <c r="A29" s="101" t="s">
        <v>40</v>
      </c>
      <c r="B29" s="32" t="s">
        <v>47</v>
      </c>
      <c r="C29" s="42" t="s">
        <v>19</v>
      </c>
      <c r="D29" s="42" t="s">
        <v>16</v>
      </c>
      <c r="E29" s="42" t="s">
        <v>16</v>
      </c>
      <c r="F29" s="42" t="s">
        <v>16</v>
      </c>
      <c r="G29" s="42" t="s">
        <v>16</v>
      </c>
      <c r="H29" s="42" t="s">
        <v>16</v>
      </c>
      <c r="I29" s="42" t="s">
        <v>19</v>
      </c>
      <c r="J29" s="42" t="s">
        <v>19</v>
      </c>
      <c r="K29" s="42"/>
      <c r="L29" s="33"/>
      <c r="M29" s="33"/>
      <c r="N29" s="34"/>
      <c r="O29" s="1"/>
      <c r="P29" s="1"/>
    </row>
    <row r="30" spans="1:16">
      <c r="A30" s="101" t="s">
        <v>40</v>
      </c>
      <c r="B30" s="32" t="s">
        <v>48</v>
      </c>
      <c r="C30" s="42" t="s">
        <v>19</v>
      </c>
      <c r="D30" s="42" t="s">
        <v>16</v>
      </c>
      <c r="E30" s="42" t="s">
        <v>16</v>
      </c>
      <c r="F30" s="42" t="s">
        <v>16</v>
      </c>
      <c r="G30" s="42" t="s">
        <v>16</v>
      </c>
      <c r="H30" s="42" t="s">
        <v>16</v>
      </c>
      <c r="I30" s="42" t="s">
        <v>16</v>
      </c>
      <c r="J30" s="42" t="s">
        <v>19</v>
      </c>
      <c r="K30" s="42"/>
      <c r="L30" s="33"/>
      <c r="M30" s="33"/>
      <c r="N30" s="34"/>
      <c r="O30" s="1"/>
      <c r="P30" s="1"/>
    </row>
    <row r="31" spans="1:16">
      <c r="A31" s="101" t="s">
        <v>40</v>
      </c>
      <c r="B31" s="32" t="s">
        <v>49</v>
      </c>
      <c r="C31" s="42" t="s">
        <v>20</v>
      </c>
      <c r="D31" s="42" t="s">
        <v>20</v>
      </c>
      <c r="E31" s="42" t="s">
        <v>19</v>
      </c>
      <c r="F31" s="42" t="s">
        <v>20</v>
      </c>
      <c r="G31" s="42" t="s">
        <v>19</v>
      </c>
      <c r="H31" s="42" t="s">
        <v>20</v>
      </c>
      <c r="I31" s="42" t="s">
        <v>20</v>
      </c>
      <c r="J31" s="42" t="s">
        <v>20</v>
      </c>
      <c r="K31" s="42"/>
      <c r="L31" s="33"/>
      <c r="M31" s="33"/>
      <c r="N31" s="34"/>
      <c r="O31" s="1"/>
      <c r="P31" s="1"/>
    </row>
    <row r="32" spans="1:16">
      <c r="A32" s="103" t="s">
        <v>40</v>
      </c>
      <c r="B32" s="84" t="s">
        <v>50</v>
      </c>
      <c r="C32" s="42" t="s">
        <v>19</v>
      </c>
      <c r="D32" s="42" t="s">
        <v>19</v>
      </c>
      <c r="E32" s="42" t="s">
        <v>19</v>
      </c>
      <c r="F32" s="42" t="s">
        <v>16</v>
      </c>
      <c r="G32" s="42" t="s">
        <v>19</v>
      </c>
      <c r="H32" s="42" t="s">
        <v>19</v>
      </c>
      <c r="I32" s="42" t="s">
        <v>20</v>
      </c>
      <c r="J32" s="42" t="s">
        <v>20</v>
      </c>
      <c r="K32" s="134"/>
      <c r="L32" s="76"/>
      <c r="M32" s="76"/>
      <c r="N32" s="76"/>
      <c r="O32" s="1"/>
      <c r="P32" s="1"/>
    </row>
    <row r="33" spans="1:16">
      <c r="A33" s="100" t="s">
        <v>51</v>
      </c>
      <c r="B33" s="81" t="s">
        <v>52</v>
      </c>
      <c r="C33" s="116" t="s">
        <v>16</v>
      </c>
      <c r="D33" s="116" t="s">
        <v>16</v>
      </c>
      <c r="E33" s="116" t="s">
        <v>16</v>
      </c>
      <c r="F33" s="116" t="s">
        <v>16</v>
      </c>
      <c r="G33" s="46" t="s">
        <v>16</v>
      </c>
      <c r="H33" s="116" t="s">
        <v>16</v>
      </c>
      <c r="I33" s="116" t="s">
        <v>16</v>
      </c>
      <c r="J33" s="116" t="s">
        <v>16</v>
      </c>
      <c r="K33" s="116"/>
      <c r="L33" s="82"/>
      <c r="M33" s="82"/>
      <c r="N33" s="82"/>
      <c r="O33" s="1"/>
      <c r="P33" s="1"/>
    </row>
    <row r="34" spans="1:16">
      <c r="A34" s="117" t="s">
        <v>51</v>
      </c>
      <c r="B34" s="2" t="s">
        <v>53</v>
      </c>
      <c r="C34" s="42" t="s">
        <v>16</v>
      </c>
      <c r="D34" s="42" t="s">
        <v>16</v>
      </c>
      <c r="E34" s="42" t="s">
        <v>16</v>
      </c>
      <c r="F34" s="42" t="s">
        <v>16</v>
      </c>
      <c r="G34" s="42" t="s">
        <v>16</v>
      </c>
      <c r="H34" s="42" t="s">
        <v>16</v>
      </c>
      <c r="I34" s="42" t="s">
        <v>16</v>
      </c>
      <c r="J34" s="42" t="s">
        <v>16</v>
      </c>
      <c r="K34" s="42"/>
      <c r="L34" s="33"/>
      <c r="M34" s="33"/>
      <c r="N34" s="33"/>
      <c r="O34" s="1"/>
      <c r="P34" s="1"/>
    </row>
    <row r="35" spans="1:16">
      <c r="A35" s="99" t="s">
        <v>51</v>
      </c>
      <c r="B35" s="84" t="s">
        <v>54</v>
      </c>
      <c r="C35" s="42" t="s">
        <v>16</v>
      </c>
      <c r="D35" s="42" t="s">
        <v>16</v>
      </c>
      <c r="E35" s="42" t="s">
        <v>16</v>
      </c>
      <c r="F35" s="42" t="s">
        <v>16</v>
      </c>
      <c r="G35" s="42" t="s">
        <v>16</v>
      </c>
      <c r="H35" s="42" t="s">
        <v>16</v>
      </c>
      <c r="I35" s="42" t="s">
        <v>16</v>
      </c>
      <c r="J35" s="42" t="s">
        <v>16</v>
      </c>
      <c r="K35" s="42"/>
      <c r="L35" s="33"/>
      <c r="M35" s="33"/>
      <c r="N35" s="33"/>
      <c r="O35" s="1"/>
      <c r="P35" s="1"/>
    </row>
    <row r="36" spans="1:16">
      <c r="A36" s="100" t="s">
        <v>55</v>
      </c>
      <c r="B36" s="81" t="s">
        <v>56</v>
      </c>
      <c r="C36" s="116" t="s">
        <v>19</v>
      </c>
      <c r="D36" s="116" t="s">
        <v>19</v>
      </c>
      <c r="E36" s="116" t="s">
        <v>19</v>
      </c>
      <c r="F36" s="116" t="s">
        <v>16</v>
      </c>
      <c r="G36" s="116" t="s">
        <v>16</v>
      </c>
      <c r="H36" s="116" t="s">
        <v>19</v>
      </c>
      <c r="I36" s="116" t="s">
        <v>20</v>
      </c>
      <c r="J36" s="116" t="s">
        <v>19</v>
      </c>
      <c r="K36" s="116"/>
      <c r="L36" s="116"/>
      <c r="M36" s="116"/>
      <c r="N36" s="116"/>
      <c r="O36" s="1"/>
      <c r="P36" s="1"/>
    </row>
    <row r="37" spans="1:16">
      <c r="A37" s="89" t="s">
        <v>55</v>
      </c>
      <c r="B37" s="41" t="s">
        <v>57</v>
      </c>
      <c r="C37" s="42" t="s">
        <v>19</v>
      </c>
      <c r="D37" s="42" t="s">
        <v>19</v>
      </c>
      <c r="E37" s="42" t="s">
        <v>16</v>
      </c>
      <c r="F37" s="42" t="s">
        <v>16</v>
      </c>
      <c r="G37" s="42" t="s">
        <v>16</v>
      </c>
      <c r="H37" s="42" t="s">
        <v>16</v>
      </c>
      <c r="I37" s="42" t="s">
        <v>16</v>
      </c>
      <c r="J37" s="42" t="s">
        <v>16</v>
      </c>
      <c r="K37" s="42"/>
      <c r="L37" s="43"/>
      <c r="M37" s="43"/>
      <c r="N37" s="44"/>
      <c r="O37" s="1"/>
      <c r="P37" s="1"/>
    </row>
    <row r="38" spans="1:16">
      <c r="A38" s="90" t="s">
        <v>55</v>
      </c>
      <c r="B38" s="38" t="s">
        <v>58</v>
      </c>
      <c r="C38" s="42" t="s">
        <v>19</v>
      </c>
      <c r="D38" s="42" t="s">
        <v>20</v>
      </c>
      <c r="E38" s="42" t="s">
        <v>16</v>
      </c>
      <c r="F38" s="42" t="s">
        <v>16</v>
      </c>
      <c r="G38" s="42" t="s">
        <v>16</v>
      </c>
      <c r="H38" s="42" t="s">
        <v>20</v>
      </c>
      <c r="I38" s="42" t="s">
        <v>20</v>
      </c>
      <c r="J38" s="42" t="s">
        <v>20</v>
      </c>
      <c r="K38" s="42"/>
      <c r="L38" s="39"/>
      <c r="M38" s="39"/>
      <c r="N38" s="40"/>
      <c r="O38" s="1"/>
      <c r="P38" s="1"/>
    </row>
    <row r="39" spans="1:16">
      <c r="A39" s="90" t="s">
        <v>55</v>
      </c>
      <c r="B39" s="32" t="s">
        <v>59</v>
      </c>
      <c r="C39" s="42" t="s">
        <v>19</v>
      </c>
      <c r="D39" s="42" t="s">
        <v>20</v>
      </c>
      <c r="E39" s="42" t="s">
        <v>19</v>
      </c>
      <c r="F39" s="42" t="s">
        <v>16</v>
      </c>
      <c r="G39" s="42" t="s">
        <v>16</v>
      </c>
      <c r="H39" s="42" t="s">
        <v>20</v>
      </c>
      <c r="I39" s="42" t="s">
        <v>20</v>
      </c>
      <c r="J39" s="42" t="s">
        <v>20</v>
      </c>
      <c r="K39" s="42"/>
      <c r="L39" s="33"/>
      <c r="M39" s="33"/>
      <c r="N39" s="34"/>
      <c r="O39" s="1"/>
      <c r="P39" s="1"/>
    </row>
    <row r="40" spans="1:16">
      <c r="A40" s="90" t="s">
        <v>55</v>
      </c>
      <c r="B40" s="32" t="s">
        <v>60</v>
      </c>
      <c r="C40" s="42" t="s">
        <v>19</v>
      </c>
      <c r="D40" s="42" t="s">
        <v>19</v>
      </c>
      <c r="E40" s="42" t="s">
        <v>16</v>
      </c>
      <c r="F40" s="42" t="s">
        <v>16</v>
      </c>
      <c r="G40" s="42" t="s">
        <v>16</v>
      </c>
      <c r="H40" s="42" t="s">
        <v>16</v>
      </c>
      <c r="I40" s="42" t="s">
        <v>16</v>
      </c>
      <c r="J40" s="42" t="s">
        <v>19</v>
      </c>
      <c r="K40" s="42"/>
      <c r="L40" s="33"/>
      <c r="M40" s="33"/>
      <c r="N40" s="34"/>
      <c r="O40" s="1"/>
      <c r="P40" s="1"/>
    </row>
    <row r="41" spans="1:16">
      <c r="A41" s="90" t="s">
        <v>55</v>
      </c>
      <c r="B41" s="32" t="s">
        <v>61</v>
      </c>
      <c r="C41" s="42" t="s">
        <v>19</v>
      </c>
      <c r="D41" s="42" t="s">
        <v>20</v>
      </c>
      <c r="E41" s="42" t="s">
        <v>19</v>
      </c>
      <c r="F41" s="42" t="s">
        <v>16</v>
      </c>
      <c r="G41" s="42" t="s">
        <v>19</v>
      </c>
      <c r="H41" s="42" t="s">
        <v>16</v>
      </c>
      <c r="I41" s="42" t="s">
        <v>20</v>
      </c>
      <c r="J41" s="42" t="s">
        <v>20</v>
      </c>
      <c r="K41" s="42"/>
      <c r="L41" s="33"/>
      <c r="M41" s="33"/>
      <c r="N41" s="34"/>
      <c r="O41" s="1"/>
      <c r="P41" s="1"/>
    </row>
    <row r="42" spans="1:16">
      <c r="A42" s="90" t="s">
        <v>55</v>
      </c>
      <c r="B42" s="32" t="s">
        <v>62</v>
      </c>
      <c r="C42" s="42" t="s">
        <v>20</v>
      </c>
      <c r="D42" s="42" t="s">
        <v>20</v>
      </c>
      <c r="E42" s="42" t="s">
        <v>16</v>
      </c>
      <c r="F42" s="42" t="s">
        <v>19</v>
      </c>
      <c r="G42" s="42" t="s">
        <v>16</v>
      </c>
      <c r="H42" s="42" t="s">
        <v>16</v>
      </c>
      <c r="I42" s="42" t="s">
        <v>20</v>
      </c>
      <c r="J42" s="42" t="s">
        <v>19</v>
      </c>
      <c r="K42" s="42"/>
      <c r="L42" s="33"/>
      <c r="M42" s="33"/>
      <c r="N42" s="34"/>
      <c r="O42" s="1"/>
      <c r="P42" s="1"/>
    </row>
    <row r="43" spans="1:16">
      <c r="A43" s="90" t="s">
        <v>55</v>
      </c>
      <c r="B43" s="38" t="s">
        <v>63</v>
      </c>
      <c r="C43" s="42" t="s">
        <v>20</v>
      </c>
      <c r="D43" s="42" t="s">
        <v>20</v>
      </c>
      <c r="E43" s="42" t="s">
        <v>19</v>
      </c>
      <c r="F43" s="42" t="s">
        <v>19</v>
      </c>
      <c r="G43" s="42" t="s">
        <v>19</v>
      </c>
      <c r="H43" s="42" t="s">
        <v>20</v>
      </c>
      <c r="I43" s="42" t="s">
        <v>20</v>
      </c>
      <c r="J43" s="42" t="s">
        <v>20</v>
      </c>
      <c r="K43" s="42"/>
      <c r="L43" s="39"/>
      <c r="M43" s="39"/>
      <c r="N43" s="40"/>
      <c r="O43" s="1"/>
      <c r="P43" s="1"/>
    </row>
    <row r="44" spans="1:16">
      <c r="A44" s="90" t="s">
        <v>55</v>
      </c>
      <c r="B44" s="38" t="s">
        <v>64</v>
      </c>
      <c r="C44" s="42" t="s">
        <v>19</v>
      </c>
      <c r="D44" s="42" t="s">
        <v>19</v>
      </c>
      <c r="E44" s="42" t="s">
        <v>16</v>
      </c>
      <c r="F44" s="42" t="s">
        <v>16</v>
      </c>
      <c r="G44" s="42" t="s">
        <v>16</v>
      </c>
      <c r="H44" s="42" t="s">
        <v>16</v>
      </c>
      <c r="I44" s="42" t="s">
        <v>19</v>
      </c>
      <c r="J44" s="42" t="s">
        <v>19</v>
      </c>
      <c r="K44" s="42"/>
      <c r="L44" s="39"/>
      <c r="M44" s="39"/>
      <c r="N44" s="40"/>
      <c r="O44" s="1"/>
      <c r="P44" s="1"/>
    </row>
    <row r="45" spans="1:16">
      <c r="A45" s="90" t="s">
        <v>55</v>
      </c>
      <c r="B45" s="38" t="s">
        <v>65</v>
      </c>
      <c r="C45" s="42" t="s">
        <v>20</v>
      </c>
      <c r="D45" s="42" t="s">
        <v>20</v>
      </c>
      <c r="E45" s="42" t="s">
        <v>19</v>
      </c>
      <c r="F45" s="42" t="s">
        <v>19</v>
      </c>
      <c r="G45" s="42" t="s">
        <v>16</v>
      </c>
      <c r="H45" s="42" t="s">
        <v>19</v>
      </c>
      <c r="I45" s="42" t="s">
        <v>20</v>
      </c>
      <c r="J45" s="42" t="s">
        <v>20</v>
      </c>
      <c r="K45" s="42"/>
      <c r="L45" s="39"/>
      <c r="M45" s="39"/>
      <c r="N45" s="40"/>
      <c r="O45" s="1"/>
      <c r="P45" s="1"/>
    </row>
    <row r="46" spans="1:16">
      <c r="A46" s="90" t="s">
        <v>55</v>
      </c>
      <c r="B46" s="32" t="s">
        <v>66</v>
      </c>
      <c r="C46" s="42" t="s">
        <v>20</v>
      </c>
      <c r="D46" s="42" t="s">
        <v>20</v>
      </c>
      <c r="E46" s="42" t="s">
        <v>19</v>
      </c>
      <c r="F46" s="42" t="s">
        <v>19</v>
      </c>
      <c r="G46" s="42" t="s">
        <v>16</v>
      </c>
      <c r="H46" s="42" t="s">
        <v>20</v>
      </c>
      <c r="I46" s="42" t="s">
        <v>20</v>
      </c>
      <c r="J46" s="42" t="s">
        <v>20</v>
      </c>
      <c r="K46" s="42"/>
      <c r="L46" s="33"/>
      <c r="M46" s="33"/>
      <c r="N46" s="34"/>
      <c r="O46" s="1"/>
      <c r="P46" s="1"/>
    </row>
    <row r="47" spans="1:16">
      <c r="A47" s="90" t="s">
        <v>55</v>
      </c>
      <c r="B47" s="32" t="s">
        <v>67</v>
      </c>
      <c r="C47" s="42" t="s">
        <v>20</v>
      </c>
      <c r="D47" s="42" t="s">
        <v>20</v>
      </c>
      <c r="E47" s="42" t="s">
        <v>19</v>
      </c>
      <c r="F47" s="42" t="s">
        <v>20</v>
      </c>
      <c r="G47" s="42" t="s">
        <v>16</v>
      </c>
      <c r="H47" s="42" t="s">
        <v>16</v>
      </c>
      <c r="I47" s="42" t="s">
        <v>16</v>
      </c>
      <c r="J47" s="42" t="s">
        <v>16</v>
      </c>
      <c r="K47" s="42"/>
      <c r="L47" s="33"/>
      <c r="M47" s="33"/>
      <c r="N47" s="34"/>
      <c r="O47" s="1"/>
      <c r="P47" s="1"/>
    </row>
    <row r="48" spans="1:16">
      <c r="A48" s="92" t="s">
        <v>68</v>
      </c>
      <c r="B48" s="58" t="s">
        <v>69</v>
      </c>
      <c r="C48" s="46" t="s">
        <v>16</v>
      </c>
      <c r="D48" s="46" t="s">
        <v>16</v>
      </c>
      <c r="E48" s="46" t="s">
        <v>16</v>
      </c>
      <c r="F48" s="46" t="s">
        <v>16</v>
      </c>
      <c r="G48" s="46" t="s">
        <v>16</v>
      </c>
      <c r="H48" s="46" t="s">
        <v>16</v>
      </c>
      <c r="I48" s="46" t="s">
        <v>16</v>
      </c>
      <c r="J48" s="46" t="s">
        <v>16</v>
      </c>
      <c r="K48" s="46"/>
      <c r="L48" s="59"/>
      <c r="M48" s="59"/>
      <c r="N48" s="60"/>
      <c r="O48" s="1"/>
      <c r="P48" s="1"/>
    </row>
    <row r="49" spans="1:16">
      <c r="A49" s="93" t="s">
        <v>68</v>
      </c>
      <c r="B49" s="55" t="s">
        <v>70</v>
      </c>
      <c r="C49" s="42" t="s">
        <v>16</v>
      </c>
      <c r="D49" s="42" t="s">
        <v>16</v>
      </c>
      <c r="E49" s="42" t="s">
        <v>16</v>
      </c>
      <c r="F49" s="42" t="s">
        <v>16</v>
      </c>
      <c r="G49" s="42" t="s">
        <v>16</v>
      </c>
      <c r="H49" s="42" t="s">
        <v>16</v>
      </c>
      <c r="I49" s="42" t="s">
        <v>16</v>
      </c>
      <c r="J49" s="42" t="s">
        <v>16</v>
      </c>
      <c r="K49" s="42"/>
      <c r="L49" s="56"/>
      <c r="M49" s="56"/>
      <c r="N49" s="57"/>
      <c r="O49" s="1"/>
      <c r="P49" s="1"/>
    </row>
    <row r="50" spans="1:16">
      <c r="A50" s="94" t="s">
        <v>68</v>
      </c>
      <c r="B50" s="32" t="s">
        <v>71</v>
      </c>
      <c r="C50" s="42" t="s">
        <v>16</v>
      </c>
      <c r="D50" s="42" t="s">
        <v>16</v>
      </c>
      <c r="E50" s="42" t="s">
        <v>16</v>
      </c>
      <c r="F50" s="42" t="s">
        <v>16</v>
      </c>
      <c r="G50" s="42" t="s">
        <v>16</v>
      </c>
      <c r="H50" s="42" t="s">
        <v>16</v>
      </c>
      <c r="I50" s="42" t="s">
        <v>16</v>
      </c>
      <c r="J50" s="42" t="s">
        <v>16</v>
      </c>
      <c r="K50" s="42"/>
      <c r="L50" s="33"/>
      <c r="M50" s="33"/>
      <c r="N50" s="34"/>
      <c r="O50" s="1"/>
      <c r="P50" s="1"/>
    </row>
    <row r="51" spans="1:16">
      <c r="A51" s="94" t="s">
        <v>68</v>
      </c>
      <c r="B51" s="49" t="s">
        <v>72</v>
      </c>
      <c r="C51" s="42" t="s">
        <v>19</v>
      </c>
      <c r="D51" s="42" t="s">
        <v>19</v>
      </c>
      <c r="E51" s="42" t="s">
        <v>16</v>
      </c>
      <c r="F51" s="42" t="s">
        <v>19</v>
      </c>
      <c r="G51" s="42" t="s">
        <v>16</v>
      </c>
      <c r="H51" s="42" t="s">
        <v>16</v>
      </c>
      <c r="I51" s="42" t="s">
        <v>16</v>
      </c>
      <c r="J51" s="42" t="s">
        <v>16</v>
      </c>
      <c r="K51" s="42"/>
      <c r="L51" s="50"/>
      <c r="M51" s="50"/>
      <c r="N51" s="51"/>
      <c r="O51" s="1"/>
      <c r="P51" s="1"/>
    </row>
    <row r="52" spans="1:16">
      <c r="A52" s="94" t="s">
        <v>68</v>
      </c>
      <c r="B52" s="49" t="s">
        <v>73</v>
      </c>
      <c r="C52" s="42" t="s">
        <v>19</v>
      </c>
      <c r="D52" s="42" t="s">
        <v>19</v>
      </c>
      <c r="E52" s="42" t="s">
        <v>19</v>
      </c>
      <c r="F52" s="42" t="s">
        <v>19</v>
      </c>
      <c r="G52" s="42" t="s">
        <v>19</v>
      </c>
      <c r="H52" s="42" t="s">
        <v>20</v>
      </c>
      <c r="I52" s="42" t="s">
        <v>20</v>
      </c>
      <c r="J52" s="42" t="s">
        <v>19</v>
      </c>
      <c r="K52" s="42"/>
      <c r="L52" s="50"/>
      <c r="M52" s="50"/>
      <c r="N52" s="51"/>
      <c r="O52" s="1"/>
      <c r="P52" s="1"/>
    </row>
    <row r="53" spans="1:16">
      <c r="A53" s="94" t="s">
        <v>68</v>
      </c>
      <c r="B53" s="49" t="s">
        <v>74</v>
      </c>
      <c r="C53" s="42" t="s">
        <v>16</v>
      </c>
      <c r="D53" s="42" t="s">
        <v>16</v>
      </c>
      <c r="E53" s="42" t="s">
        <v>16</v>
      </c>
      <c r="F53" s="42" t="s">
        <v>16</v>
      </c>
      <c r="G53" s="42" t="s">
        <v>16</v>
      </c>
      <c r="H53" s="42" t="s">
        <v>16</v>
      </c>
      <c r="I53" s="42" t="s">
        <v>16</v>
      </c>
      <c r="J53" s="42" t="s">
        <v>16</v>
      </c>
      <c r="K53" s="42"/>
      <c r="L53" s="50"/>
      <c r="M53" s="50"/>
      <c r="N53" s="51"/>
      <c r="O53" s="1"/>
      <c r="P53" s="1"/>
    </row>
    <row r="54" spans="1:16">
      <c r="A54" s="94" t="s">
        <v>68</v>
      </c>
      <c r="B54" s="49" t="s">
        <v>75</v>
      </c>
      <c r="C54" s="42" t="s">
        <v>19</v>
      </c>
      <c r="D54" s="42" t="s">
        <v>19</v>
      </c>
      <c r="E54" s="42" t="s">
        <v>19</v>
      </c>
      <c r="F54" s="42" t="s">
        <v>20</v>
      </c>
      <c r="G54" s="42" t="s">
        <v>19</v>
      </c>
      <c r="H54" s="42" t="s">
        <v>20</v>
      </c>
      <c r="I54" s="42" t="s">
        <v>20</v>
      </c>
      <c r="J54" s="42" t="s">
        <v>20</v>
      </c>
      <c r="K54" s="42"/>
      <c r="L54" s="50"/>
      <c r="M54" s="50"/>
      <c r="N54" s="51"/>
      <c r="O54" s="1"/>
      <c r="P54" s="1"/>
    </row>
    <row r="55" spans="1:16">
      <c r="A55" s="95" t="s">
        <v>68</v>
      </c>
      <c r="B55" s="64" t="s">
        <v>76</v>
      </c>
      <c r="C55" s="42" t="s">
        <v>20</v>
      </c>
      <c r="D55" s="42" t="s">
        <v>20</v>
      </c>
      <c r="E55" s="42" t="s">
        <v>19</v>
      </c>
      <c r="F55" s="42" t="s">
        <v>19</v>
      </c>
      <c r="G55" s="42" t="s">
        <v>19</v>
      </c>
      <c r="H55" s="42" t="s">
        <v>20</v>
      </c>
      <c r="I55" s="42" t="s">
        <v>20</v>
      </c>
      <c r="J55" s="42" t="s">
        <v>20</v>
      </c>
      <c r="K55" s="134"/>
      <c r="L55" s="65"/>
      <c r="M55" s="65"/>
      <c r="N55" s="66"/>
      <c r="O55" s="1"/>
      <c r="P55" s="1"/>
    </row>
    <row r="56" spans="1:16">
      <c r="A56" s="96" t="s">
        <v>77</v>
      </c>
      <c r="B56" s="69" t="s">
        <v>78</v>
      </c>
      <c r="C56" s="46" t="s">
        <v>19</v>
      </c>
      <c r="D56" s="46" t="s">
        <v>16</v>
      </c>
      <c r="E56" s="46" t="s">
        <v>16</v>
      </c>
      <c r="F56" s="46" t="s">
        <v>16</v>
      </c>
      <c r="G56" s="46" t="s">
        <v>16</v>
      </c>
      <c r="H56" s="46" t="s">
        <v>19</v>
      </c>
      <c r="I56" s="46" t="s">
        <v>20</v>
      </c>
      <c r="J56" s="46" t="s">
        <v>19</v>
      </c>
      <c r="K56" s="46"/>
      <c r="L56" s="70"/>
      <c r="M56" s="70"/>
      <c r="N56" s="71"/>
      <c r="O56" s="1"/>
      <c r="P56" s="1"/>
    </row>
    <row r="57" spans="1:16">
      <c r="A57" s="97" t="s">
        <v>77</v>
      </c>
      <c r="B57" s="87" t="s">
        <v>79</v>
      </c>
      <c r="C57" s="42" t="s">
        <v>19</v>
      </c>
      <c r="D57" s="42" t="s">
        <v>19</v>
      </c>
      <c r="E57" s="42" t="s">
        <v>19</v>
      </c>
      <c r="F57" s="42" t="s">
        <v>19</v>
      </c>
      <c r="G57" s="42" t="s">
        <v>16</v>
      </c>
      <c r="H57" s="42" t="s">
        <v>19</v>
      </c>
      <c r="I57" s="42" t="s">
        <v>20</v>
      </c>
      <c r="J57" s="42" t="s">
        <v>20</v>
      </c>
      <c r="K57" s="42"/>
      <c r="L57" s="67"/>
      <c r="M57" s="67"/>
      <c r="N57" s="68"/>
      <c r="O57" s="1"/>
      <c r="P57" s="1"/>
    </row>
    <row r="58" spans="1:16">
      <c r="A58" s="98" t="s">
        <v>77</v>
      </c>
      <c r="B58" s="61" t="s">
        <v>80</v>
      </c>
      <c r="C58" s="42" t="s">
        <v>19</v>
      </c>
      <c r="D58" s="42" t="s">
        <v>16</v>
      </c>
      <c r="E58" s="42" t="s">
        <v>16</v>
      </c>
      <c r="F58" s="42" t="s">
        <v>16</v>
      </c>
      <c r="G58" s="42" t="s">
        <v>16</v>
      </c>
      <c r="H58" s="42" t="s">
        <v>19</v>
      </c>
      <c r="I58" s="42" t="s">
        <v>19</v>
      </c>
      <c r="J58" s="42" t="s">
        <v>19</v>
      </c>
      <c r="K58" s="42"/>
      <c r="L58" s="62"/>
      <c r="M58" s="62"/>
      <c r="N58" s="63"/>
      <c r="O58" s="1"/>
      <c r="P58" s="1"/>
    </row>
    <row r="59" spans="1:16">
      <c r="A59" s="98" t="s">
        <v>77</v>
      </c>
      <c r="B59" s="61" t="s">
        <v>81</v>
      </c>
      <c r="C59" s="42" t="s">
        <v>19</v>
      </c>
      <c r="D59" s="42" t="s">
        <v>19</v>
      </c>
      <c r="E59" s="42" t="s">
        <v>19</v>
      </c>
      <c r="F59" s="42" t="s">
        <v>16</v>
      </c>
      <c r="G59" s="42" t="s">
        <v>16</v>
      </c>
      <c r="H59" s="42" t="s">
        <v>19</v>
      </c>
      <c r="I59" s="42" t="s">
        <v>19</v>
      </c>
      <c r="J59" s="42" t="s">
        <v>20</v>
      </c>
      <c r="K59" s="42"/>
      <c r="L59" s="62"/>
      <c r="M59" s="62"/>
      <c r="N59" s="63"/>
      <c r="O59" s="1"/>
      <c r="P59" s="1"/>
    </row>
    <row r="60" spans="1:16">
      <c r="A60" s="98" t="s">
        <v>77</v>
      </c>
      <c r="B60" s="61" t="s">
        <v>82</v>
      </c>
      <c r="C60" s="42" t="s">
        <v>16</v>
      </c>
      <c r="D60" s="42" t="s">
        <v>16</v>
      </c>
      <c r="E60" s="42" t="s">
        <v>16</v>
      </c>
      <c r="F60" s="42" t="s">
        <v>19</v>
      </c>
      <c r="G60" s="42" t="s">
        <v>16</v>
      </c>
      <c r="H60" s="42" t="s">
        <v>19</v>
      </c>
      <c r="I60" s="42" t="s">
        <v>19</v>
      </c>
      <c r="J60" s="42" t="s">
        <v>20</v>
      </c>
      <c r="K60" s="42"/>
      <c r="L60" s="62"/>
      <c r="M60" s="62"/>
      <c r="N60" s="63"/>
      <c r="O60" s="1"/>
      <c r="P60" s="1"/>
    </row>
    <row r="61" spans="1:16">
      <c r="A61" s="99" t="s">
        <v>77</v>
      </c>
      <c r="B61" s="75" t="s">
        <v>83</v>
      </c>
      <c r="C61" s="42" t="s">
        <v>20</v>
      </c>
      <c r="D61" s="42" t="s">
        <v>16</v>
      </c>
      <c r="E61" s="42" t="s">
        <v>16</v>
      </c>
      <c r="F61" s="42" t="s">
        <v>16</v>
      </c>
      <c r="G61" s="42" t="s">
        <v>16</v>
      </c>
      <c r="H61" s="42" t="s">
        <v>20</v>
      </c>
      <c r="I61" s="42" t="s">
        <v>20</v>
      </c>
      <c r="J61" s="42" t="s">
        <v>20</v>
      </c>
      <c r="K61" s="134"/>
      <c r="L61" s="76"/>
      <c r="M61" s="76"/>
      <c r="N61" s="77"/>
      <c r="O61" s="1"/>
      <c r="P61" s="1"/>
    </row>
    <row r="62" spans="1:16">
      <c r="A62" s="96" t="s">
        <v>84</v>
      </c>
      <c r="B62" s="105" t="s">
        <v>85</v>
      </c>
      <c r="C62" s="46" t="s">
        <v>16</v>
      </c>
      <c r="D62" s="46" t="s">
        <v>19</v>
      </c>
      <c r="E62" s="46" t="s">
        <v>16</v>
      </c>
      <c r="F62" s="46" t="s">
        <v>16</v>
      </c>
      <c r="G62" s="46" t="s">
        <v>16</v>
      </c>
      <c r="H62" s="46" t="s">
        <v>16</v>
      </c>
      <c r="I62" s="46" t="s">
        <v>19</v>
      </c>
      <c r="J62" s="46" t="s">
        <v>19</v>
      </c>
      <c r="K62" s="46"/>
      <c r="L62" s="82"/>
      <c r="M62" s="82"/>
      <c r="N62" s="83"/>
      <c r="O62" s="1"/>
      <c r="P62" s="1"/>
    </row>
    <row r="63" spans="1:16">
      <c r="A63" s="104" t="s">
        <v>84</v>
      </c>
      <c r="B63" s="106" t="s">
        <v>86</v>
      </c>
      <c r="C63" s="42" t="s">
        <v>16</v>
      </c>
      <c r="D63" s="42" t="s">
        <v>16</v>
      </c>
      <c r="E63" s="42" t="s">
        <v>19</v>
      </c>
      <c r="F63" s="42" t="s">
        <v>19</v>
      </c>
      <c r="G63" s="42" t="s">
        <v>16</v>
      </c>
      <c r="H63" s="42" t="s">
        <v>20</v>
      </c>
      <c r="I63" s="42" t="s">
        <v>20</v>
      </c>
      <c r="J63" s="42" t="s">
        <v>20</v>
      </c>
      <c r="K63" s="42"/>
      <c r="L63" s="79"/>
      <c r="M63" s="79"/>
      <c r="N63" s="80"/>
      <c r="O63" s="1"/>
      <c r="P63" s="1"/>
    </row>
    <row r="64" spans="1:16">
      <c r="A64" s="104" t="s">
        <v>84</v>
      </c>
      <c r="B64" s="107" t="s">
        <v>87</v>
      </c>
      <c r="C64" s="42" t="s">
        <v>19</v>
      </c>
      <c r="D64" s="42" t="s">
        <v>19</v>
      </c>
      <c r="E64" s="42" t="s">
        <v>16</v>
      </c>
      <c r="F64" s="42" t="s">
        <v>19</v>
      </c>
      <c r="G64" s="42" t="s">
        <v>16</v>
      </c>
      <c r="H64" s="42" t="s">
        <v>19</v>
      </c>
      <c r="I64" s="42" t="s">
        <v>20</v>
      </c>
      <c r="J64" s="42" t="s">
        <v>20</v>
      </c>
      <c r="K64" s="42"/>
      <c r="L64" s="73"/>
      <c r="M64" s="73"/>
      <c r="N64" s="74"/>
      <c r="O64" s="1"/>
      <c r="P64" s="1"/>
    </row>
    <row r="65" spans="1:16">
      <c r="A65" s="104" t="s">
        <v>84</v>
      </c>
      <c r="B65" s="107" t="s">
        <v>88</v>
      </c>
      <c r="C65" s="42" t="s">
        <v>19</v>
      </c>
      <c r="D65" s="42" t="s">
        <v>19</v>
      </c>
      <c r="E65" s="42" t="s">
        <v>16</v>
      </c>
      <c r="F65" s="42" t="s">
        <v>16</v>
      </c>
      <c r="G65" s="42" t="s">
        <v>19</v>
      </c>
      <c r="H65" s="42" t="s">
        <v>19</v>
      </c>
      <c r="I65" s="42" t="s">
        <v>19</v>
      </c>
      <c r="J65" s="42" t="s">
        <v>20</v>
      </c>
      <c r="K65" s="42"/>
      <c r="L65" s="73"/>
      <c r="M65" s="73"/>
      <c r="N65" s="74"/>
      <c r="O65" s="1"/>
      <c r="P65" s="1"/>
    </row>
    <row r="66" spans="1:16">
      <c r="A66" s="104" t="s">
        <v>84</v>
      </c>
      <c r="B66" s="31" t="s">
        <v>89</v>
      </c>
      <c r="C66" s="42" t="s">
        <v>20</v>
      </c>
      <c r="D66" s="42" t="s">
        <v>20</v>
      </c>
      <c r="E66" s="42" t="s">
        <v>19</v>
      </c>
      <c r="F66" s="42" t="s">
        <v>19</v>
      </c>
      <c r="G66" s="42" t="s">
        <v>16</v>
      </c>
      <c r="H66" s="42" t="s">
        <v>19</v>
      </c>
      <c r="I66" s="42" t="s">
        <v>19</v>
      </c>
      <c r="J66" s="42" t="s">
        <v>19</v>
      </c>
      <c r="K66" s="42"/>
      <c r="L66" s="33"/>
      <c r="M66" s="33"/>
      <c r="N66" s="34"/>
      <c r="O66" s="1"/>
      <c r="P66" s="1"/>
    </row>
    <row r="67" spans="1:16">
      <c r="A67" s="104" t="s">
        <v>84</v>
      </c>
      <c r="B67" s="107" t="s">
        <v>90</v>
      </c>
      <c r="C67" s="42" t="s">
        <v>20</v>
      </c>
      <c r="D67" s="42" t="s">
        <v>19</v>
      </c>
      <c r="E67" s="42" t="s">
        <v>19</v>
      </c>
      <c r="F67" s="42" t="s">
        <v>19</v>
      </c>
      <c r="G67" s="42" t="s">
        <v>16</v>
      </c>
      <c r="H67" s="42" t="s">
        <v>20</v>
      </c>
      <c r="I67" s="42" t="s">
        <v>19</v>
      </c>
      <c r="J67" s="42" t="s">
        <v>20</v>
      </c>
      <c r="K67" s="42"/>
      <c r="L67" s="73"/>
      <c r="M67" s="73"/>
      <c r="N67" s="74"/>
      <c r="O67" s="1"/>
      <c r="P67" s="1"/>
    </row>
    <row r="68" spans="1:16">
      <c r="A68" s="115" t="s">
        <v>84</v>
      </c>
      <c r="B68" s="35" t="s">
        <v>91</v>
      </c>
      <c r="C68" s="42" t="s">
        <v>20</v>
      </c>
      <c r="D68" s="42" t="s">
        <v>19</v>
      </c>
      <c r="E68" s="42" t="s">
        <v>19</v>
      </c>
      <c r="F68" s="42" t="s">
        <v>19</v>
      </c>
      <c r="G68" s="42" t="s">
        <v>19</v>
      </c>
      <c r="H68" s="42" t="s">
        <v>20</v>
      </c>
      <c r="I68" s="42" t="s">
        <v>20</v>
      </c>
      <c r="J68" s="42" t="s">
        <v>20</v>
      </c>
      <c r="K68" s="134"/>
      <c r="L68" s="36"/>
      <c r="M68" s="36"/>
      <c r="N68" s="37"/>
      <c r="O68" s="1"/>
      <c r="P68" s="1"/>
    </row>
    <row r="69" spans="1:16">
      <c r="A69" s="95" t="s">
        <v>84</v>
      </c>
      <c r="B69" s="32" t="s">
        <v>92</v>
      </c>
      <c r="C69" s="42" t="s">
        <v>19</v>
      </c>
      <c r="D69" s="42" t="s">
        <v>16</v>
      </c>
      <c r="E69" s="42" t="s">
        <v>16</v>
      </c>
      <c r="F69" s="42" t="s">
        <v>19</v>
      </c>
      <c r="G69" s="42" t="s">
        <v>16</v>
      </c>
      <c r="H69" s="42" t="s">
        <v>16</v>
      </c>
      <c r="I69" s="42" t="s">
        <v>16</v>
      </c>
      <c r="J69" s="42" t="s">
        <v>19</v>
      </c>
      <c r="K69" s="42"/>
      <c r="L69" s="33"/>
      <c r="M69" s="33"/>
      <c r="N69" s="34"/>
      <c r="O69" s="1"/>
      <c r="P69" s="1"/>
    </row>
    <row r="70" spans="1:16">
      <c r="A70" s="96" t="s">
        <v>93</v>
      </c>
      <c r="B70" s="105" t="s">
        <v>94</v>
      </c>
      <c r="C70" s="46" t="s">
        <v>19</v>
      </c>
      <c r="D70" s="46" t="s">
        <v>20</v>
      </c>
      <c r="E70" s="46" t="s">
        <v>16</v>
      </c>
      <c r="F70" s="46" t="s">
        <v>19</v>
      </c>
      <c r="G70" s="46" t="s">
        <v>19</v>
      </c>
      <c r="H70" s="46" t="s">
        <v>19</v>
      </c>
      <c r="I70" s="46" t="s">
        <v>20</v>
      </c>
      <c r="J70" s="46" t="s">
        <v>20</v>
      </c>
      <c r="K70" s="46"/>
      <c r="L70" s="82"/>
      <c r="M70" s="82"/>
      <c r="N70" s="82"/>
      <c r="O70" s="1"/>
      <c r="P70" s="1"/>
    </row>
    <row r="71" spans="1:16">
      <c r="A71" s="108" t="s">
        <v>93</v>
      </c>
      <c r="B71" s="72" t="s">
        <v>95</v>
      </c>
      <c r="C71" s="42" t="s">
        <v>19</v>
      </c>
      <c r="D71" s="42" t="s">
        <v>19</v>
      </c>
      <c r="E71" s="42" t="s">
        <v>16</v>
      </c>
      <c r="F71" s="42" t="s">
        <v>16</v>
      </c>
      <c r="G71" s="42" t="s">
        <v>19</v>
      </c>
      <c r="H71" s="42" t="s">
        <v>16</v>
      </c>
      <c r="I71" s="42" t="s">
        <v>20</v>
      </c>
      <c r="J71" s="42" t="s">
        <v>20</v>
      </c>
      <c r="K71" s="42"/>
      <c r="L71" s="73"/>
      <c r="M71" s="73"/>
      <c r="N71" s="109"/>
      <c r="O71" s="1"/>
      <c r="P71" s="1"/>
    </row>
    <row r="72" spans="1:16">
      <c r="A72" s="108" t="s">
        <v>93</v>
      </c>
      <c r="B72" s="72" t="s">
        <v>96</v>
      </c>
      <c r="C72" s="42" t="s">
        <v>20</v>
      </c>
      <c r="D72" s="42" t="s">
        <v>20</v>
      </c>
      <c r="E72" s="42" t="s">
        <v>20</v>
      </c>
      <c r="F72" s="42"/>
      <c r="G72" s="42" t="s">
        <v>20</v>
      </c>
      <c r="H72" s="42" t="s">
        <v>20</v>
      </c>
      <c r="I72" s="42" t="s">
        <v>20</v>
      </c>
      <c r="J72" s="42" t="s">
        <v>20</v>
      </c>
      <c r="K72" s="42"/>
      <c r="L72" s="73"/>
      <c r="M72" s="73"/>
      <c r="N72" s="109"/>
      <c r="O72" s="1"/>
      <c r="P72" s="1"/>
    </row>
    <row r="73" spans="1:16">
      <c r="A73" s="108" t="s">
        <v>93</v>
      </c>
      <c r="B73" s="72" t="s">
        <v>97</v>
      </c>
      <c r="C73" s="42" t="s">
        <v>19</v>
      </c>
      <c r="D73" s="42" t="s">
        <v>19</v>
      </c>
      <c r="E73" s="42" t="s">
        <v>16</v>
      </c>
      <c r="F73" s="42" t="s">
        <v>16</v>
      </c>
      <c r="G73" s="42" t="s">
        <v>16</v>
      </c>
      <c r="H73" s="42" t="s">
        <v>16</v>
      </c>
      <c r="I73" s="42" t="s">
        <v>16</v>
      </c>
      <c r="J73" s="42" t="s">
        <v>20</v>
      </c>
      <c r="K73" s="42"/>
      <c r="L73" s="73"/>
      <c r="M73" s="73"/>
      <c r="N73" s="109"/>
      <c r="O73" s="1"/>
      <c r="P73" s="1"/>
    </row>
    <row r="74" spans="1:16">
      <c r="A74" s="108" t="s">
        <v>93</v>
      </c>
      <c r="B74" s="32" t="s">
        <v>98</v>
      </c>
      <c r="C74" s="42" t="s">
        <v>19</v>
      </c>
      <c r="D74" s="42" t="s">
        <v>16</v>
      </c>
      <c r="E74" s="42" t="s">
        <v>16</v>
      </c>
      <c r="F74" s="42" t="s">
        <v>19</v>
      </c>
      <c r="G74" s="42" t="s">
        <v>16</v>
      </c>
      <c r="H74" s="42" t="s">
        <v>19</v>
      </c>
      <c r="I74" s="42" t="s">
        <v>19</v>
      </c>
      <c r="J74" s="42" t="s">
        <v>19</v>
      </c>
      <c r="K74" s="42"/>
      <c r="L74" s="33"/>
      <c r="M74" s="33"/>
      <c r="N74" s="110"/>
      <c r="O74" s="1"/>
      <c r="P74" s="1"/>
    </row>
    <row r="75" spans="1:16">
      <c r="A75" s="108" t="s">
        <v>93</v>
      </c>
      <c r="B75" s="32" t="s">
        <v>99</v>
      </c>
      <c r="C75" s="42" t="s">
        <v>20</v>
      </c>
      <c r="D75" s="42" t="s">
        <v>19</v>
      </c>
      <c r="E75" s="42" t="s">
        <v>19</v>
      </c>
      <c r="F75" s="42" t="s">
        <v>16</v>
      </c>
      <c r="G75" s="42" t="s">
        <v>16</v>
      </c>
      <c r="H75" s="42" t="s">
        <v>19</v>
      </c>
      <c r="I75" s="42" t="s">
        <v>19</v>
      </c>
      <c r="J75" s="42" t="s">
        <v>20</v>
      </c>
      <c r="K75" s="42"/>
      <c r="L75" s="33"/>
      <c r="M75" s="33"/>
      <c r="N75" s="110"/>
      <c r="O75" s="1"/>
      <c r="P75" s="1"/>
    </row>
    <row r="76" spans="1:16">
      <c r="A76" s="108" t="s">
        <v>93</v>
      </c>
      <c r="B76" s="32" t="s">
        <v>100</v>
      </c>
      <c r="C76" s="42" t="s">
        <v>20</v>
      </c>
      <c r="D76" s="42" t="s">
        <v>19</v>
      </c>
      <c r="E76" s="42" t="s">
        <v>19</v>
      </c>
      <c r="F76" s="42" t="s">
        <v>20</v>
      </c>
      <c r="G76" s="42" t="s">
        <v>16</v>
      </c>
      <c r="H76" s="42" t="s">
        <v>20</v>
      </c>
      <c r="I76" s="42" t="s">
        <v>20</v>
      </c>
      <c r="J76" s="42" t="s">
        <v>20</v>
      </c>
      <c r="K76" s="42"/>
      <c r="L76" s="33"/>
      <c r="M76" s="33"/>
      <c r="N76" s="110"/>
      <c r="O76" s="1"/>
      <c r="P76" s="1"/>
    </row>
    <row r="77" spans="1:16">
      <c r="A77" s="108" t="s">
        <v>93</v>
      </c>
      <c r="B77" s="32" t="s">
        <v>101</v>
      </c>
      <c r="C77" s="42" t="s">
        <v>20</v>
      </c>
      <c r="D77" s="42" t="s">
        <v>20</v>
      </c>
      <c r="E77" s="42" t="s">
        <v>16</v>
      </c>
      <c r="F77" s="42" t="s">
        <v>19</v>
      </c>
      <c r="G77" s="42" t="s">
        <v>16</v>
      </c>
      <c r="H77" s="42" t="s">
        <v>19</v>
      </c>
      <c r="I77" s="42" t="s">
        <v>19</v>
      </c>
      <c r="J77" s="42" t="s">
        <v>20</v>
      </c>
      <c r="K77" s="42"/>
      <c r="L77" s="33"/>
      <c r="M77" s="33"/>
      <c r="N77" s="110"/>
      <c r="O77" s="1"/>
      <c r="P77" s="1"/>
    </row>
    <row r="78" spans="1:16">
      <c r="A78" s="108" t="s">
        <v>93</v>
      </c>
      <c r="B78" s="32" t="s">
        <v>102</v>
      </c>
      <c r="C78" s="42" t="s">
        <v>19</v>
      </c>
      <c r="D78" s="42" t="s">
        <v>19</v>
      </c>
      <c r="E78" s="42" t="s">
        <v>16</v>
      </c>
      <c r="F78" s="42" t="s">
        <v>19</v>
      </c>
      <c r="G78" s="42" t="s">
        <v>16</v>
      </c>
      <c r="H78" s="42" t="s">
        <v>20</v>
      </c>
      <c r="I78" s="42" t="s">
        <v>20</v>
      </c>
      <c r="J78" s="42" t="s">
        <v>20</v>
      </c>
      <c r="K78" s="42"/>
      <c r="L78" s="33"/>
      <c r="M78" s="33"/>
      <c r="N78" s="110"/>
      <c r="O78" s="1"/>
      <c r="P78" s="1"/>
    </row>
    <row r="79" spans="1:16">
      <c r="A79" s="111" t="s">
        <v>93</v>
      </c>
      <c r="B79" s="112" t="s">
        <v>103</v>
      </c>
      <c r="C79" s="42" t="s">
        <v>19</v>
      </c>
      <c r="D79" s="42" t="s">
        <v>19</v>
      </c>
      <c r="E79" s="42" t="s">
        <v>16</v>
      </c>
      <c r="F79" s="42" t="s">
        <v>16</v>
      </c>
      <c r="G79" s="42" t="s">
        <v>16</v>
      </c>
      <c r="H79" s="42" t="s">
        <v>19</v>
      </c>
      <c r="I79" s="42" t="s">
        <v>19</v>
      </c>
      <c r="J79" s="42" t="s">
        <v>20</v>
      </c>
      <c r="K79" s="134"/>
      <c r="L79" s="113"/>
      <c r="M79" s="113"/>
      <c r="N79" s="114"/>
      <c r="O79" s="1"/>
      <c r="P79" s="1"/>
    </row>
    <row r="80" spans="1:16">
      <c r="A80" s="96" t="s">
        <v>104</v>
      </c>
      <c r="B80" s="105" t="s">
        <v>105</v>
      </c>
      <c r="C80" s="46" t="s">
        <v>19</v>
      </c>
      <c r="D80" s="46" t="s">
        <v>19</v>
      </c>
      <c r="E80" s="46" t="s">
        <v>16</v>
      </c>
      <c r="F80" s="46" t="s">
        <v>16</v>
      </c>
      <c r="G80" s="46" t="s">
        <v>16</v>
      </c>
      <c r="H80" s="46" t="s">
        <v>16</v>
      </c>
      <c r="I80" s="46" t="s">
        <v>16</v>
      </c>
      <c r="J80" s="46" t="s">
        <v>16</v>
      </c>
      <c r="K80" s="46"/>
      <c r="L80" s="82"/>
      <c r="M80" s="82"/>
      <c r="N80" s="82"/>
      <c r="O80" s="1"/>
      <c r="P80" s="1"/>
    </row>
    <row r="81" spans="1:16">
      <c r="A81" s="89" t="s">
        <v>104</v>
      </c>
      <c r="B81" s="41" t="s">
        <v>106</v>
      </c>
      <c r="C81" s="42" t="s">
        <v>20</v>
      </c>
      <c r="D81" s="42" t="s">
        <v>20</v>
      </c>
      <c r="E81" s="42" t="s">
        <v>19</v>
      </c>
      <c r="F81" s="42" t="s">
        <v>19</v>
      </c>
      <c r="G81" s="42" t="s">
        <v>19</v>
      </c>
      <c r="H81" s="42" t="s">
        <v>19</v>
      </c>
      <c r="I81" s="42" t="s">
        <v>20</v>
      </c>
      <c r="J81" s="42" t="s">
        <v>20</v>
      </c>
      <c r="K81" s="42"/>
      <c r="L81" s="43"/>
      <c r="M81" s="43"/>
      <c r="N81" s="44"/>
      <c r="O81" s="1"/>
      <c r="P81" s="1"/>
    </row>
    <row r="82" spans="1:16">
      <c r="A82" s="90" t="s">
        <v>104</v>
      </c>
      <c r="B82" s="38" t="s">
        <v>107</v>
      </c>
      <c r="C82" s="42" t="s">
        <v>16</v>
      </c>
      <c r="D82" s="42" t="s">
        <v>19</v>
      </c>
      <c r="E82" s="42" t="s">
        <v>19</v>
      </c>
      <c r="F82" s="42" t="s">
        <v>19</v>
      </c>
      <c r="G82" s="42" t="s">
        <v>16</v>
      </c>
      <c r="H82" s="42" t="s">
        <v>20</v>
      </c>
      <c r="I82" s="42" t="s">
        <v>20</v>
      </c>
      <c r="J82" s="42" t="s">
        <v>19</v>
      </c>
      <c r="K82" s="42"/>
      <c r="L82" s="39"/>
      <c r="M82" s="39"/>
      <c r="N82" s="40"/>
      <c r="O82" s="1"/>
      <c r="P82" s="1"/>
    </row>
    <row r="83" spans="1:16">
      <c r="A83" s="90" t="s">
        <v>104</v>
      </c>
      <c r="B83" s="32" t="s">
        <v>108</v>
      </c>
      <c r="C83" s="42" t="s">
        <v>20</v>
      </c>
      <c r="D83" s="42" t="s">
        <v>20</v>
      </c>
      <c r="E83" s="42" t="s">
        <v>19</v>
      </c>
      <c r="F83" s="42" t="s">
        <v>19</v>
      </c>
      <c r="G83" s="42" t="s">
        <v>16</v>
      </c>
      <c r="H83" s="42" t="s">
        <v>20</v>
      </c>
      <c r="I83" s="42" t="s">
        <v>19</v>
      </c>
      <c r="J83" s="42" t="s">
        <v>20</v>
      </c>
      <c r="K83" s="42"/>
      <c r="L83" s="33"/>
      <c r="M83" s="33"/>
      <c r="N83" s="34"/>
      <c r="O83" s="1"/>
      <c r="P83" s="1"/>
    </row>
    <row r="84" spans="1:16">
      <c r="A84" s="90" t="s">
        <v>104</v>
      </c>
      <c r="B84" s="32" t="s">
        <v>109</v>
      </c>
      <c r="C84" s="42" t="s">
        <v>19</v>
      </c>
      <c r="D84" s="42" t="s">
        <v>20</v>
      </c>
      <c r="E84" s="42" t="s">
        <v>19</v>
      </c>
      <c r="F84" s="42" t="s">
        <v>19</v>
      </c>
      <c r="G84" s="42" t="s">
        <v>16</v>
      </c>
      <c r="H84" s="42" t="s">
        <v>20</v>
      </c>
      <c r="I84" s="42" t="s">
        <v>19</v>
      </c>
      <c r="J84" s="42" t="s">
        <v>20</v>
      </c>
      <c r="K84" s="42"/>
      <c r="L84" s="33"/>
      <c r="M84" s="33"/>
      <c r="N84" s="34"/>
      <c r="O84" s="1"/>
      <c r="P84" s="1"/>
    </row>
    <row r="85" spans="1:16">
      <c r="A85" s="90" t="s">
        <v>104</v>
      </c>
      <c r="B85" s="32" t="s">
        <v>110</v>
      </c>
      <c r="C85" s="42" t="s">
        <v>20</v>
      </c>
      <c r="D85" s="42" t="s">
        <v>20</v>
      </c>
      <c r="E85" s="42" t="s">
        <v>19</v>
      </c>
      <c r="F85" s="42" t="s">
        <v>19</v>
      </c>
      <c r="G85" s="42" t="s">
        <v>19</v>
      </c>
      <c r="H85" s="42" t="s">
        <v>20</v>
      </c>
      <c r="I85" s="42" t="s">
        <v>19</v>
      </c>
      <c r="J85" s="42" t="s">
        <v>20</v>
      </c>
      <c r="K85" s="42"/>
      <c r="L85" s="33"/>
      <c r="M85" s="33"/>
      <c r="N85" s="34"/>
      <c r="O85" s="1"/>
      <c r="P85" s="1"/>
    </row>
    <row r="86" spans="1:16">
      <c r="A86" s="90" t="s">
        <v>104</v>
      </c>
      <c r="B86" s="38" t="s">
        <v>111</v>
      </c>
      <c r="C86" s="42" t="s">
        <v>19</v>
      </c>
      <c r="D86" s="42" t="s">
        <v>20</v>
      </c>
      <c r="E86" s="42" t="s">
        <v>16</v>
      </c>
      <c r="F86" s="42" t="s">
        <v>16</v>
      </c>
      <c r="G86" s="42" t="s">
        <v>16</v>
      </c>
      <c r="H86" s="42" t="s">
        <v>16</v>
      </c>
      <c r="I86" s="42" t="s">
        <v>16</v>
      </c>
      <c r="J86" s="42" t="s">
        <v>19</v>
      </c>
      <c r="K86" s="42"/>
      <c r="L86" s="39"/>
      <c r="M86" s="39"/>
      <c r="N86" s="40"/>
      <c r="O86" s="1"/>
      <c r="P86" s="1"/>
    </row>
    <row r="87" spans="1:16">
      <c r="A87" s="90" t="s">
        <v>104</v>
      </c>
      <c r="B87" s="38" t="s">
        <v>112</v>
      </c>
      <c r="C87" s="42" t="s">
        <v>20</v>
      </c>
      <c r="D87" s="42" t="s">
        <v>20</v>
      </c>
      <c r="E87" s="42" t="s">
        <v>16</v>
      </c>
      <c r="F87" s="42" t="s">
        <v>19</v>
      </c>
      <c r="G87" s="42" t="s">
        <v>19</v>
      </c>
      <c r="H87" s="42" t="s">
        <v>16</v>
      </c>
      <c r="I87" s="42" t="s">
        <v>20</v>
      </c>
      <c r="J87" s="42" t="s">
        <v>19</v>
      </c>
      <c r="K87" s="42"/>
      <c r="L87" s="39"/>
      <c r="M87" s="39"/>
      <c r="N87" s="40"/>
      <c r="O87" s="1"/>
      <c r="P87" s="1"/>
    </row>
    <row r="88" spans="1:16">
      <c r="A88" s="90" t="s">
        <v>104</v>
      </c>
      <c r="B88" s="38" t="s">
        <v>113</v>
      </c>
      <c r="C88" s="42" t="s">
        <v>19</v>
      </c>
      <c r="D88" s="42" t="s">
        <v>19</v>
      </c>
      <c r="E88" s="42" t="s">
        <v>19</v>
      </c>
      <c r="F88" s="42" t="s">
        <v>19</v>
      </c>
      <c r="G88" s="42" t="s">
        <v>16</v>
      </c>
      <c r="H88" s="42" t="s">
        <v>20</v>
      </c>
      <c r="I88" s="42" t="s">
        <v>20</v>
      </c>
      <c r="J88" s="42" t="s">
        <v>20</v>
      </c>
      <c r="K88" s="42"/>
      <c r="L88" s="39"/>
      <c r="M88" s="39"/>
      <c r="N88" s="40"/>
      <c r="O88" s="1"/>
      <c r="P88" s="1"/>
    </row>
    <row r="89" spans="1:16">
      <c r="A89" s="90" t="s">
        <v>104</v>
      </c>
      <c r="B89" s="38" t="s">
        <v>114</v>
      </c>
      <c r="C89" s="42" t="s">
        <v>20</v>
      </c>
      <c r="D89" s="42" t="s">
        <v>20</v>
      </c>
      <c r="E89" s="42" t="s">
        <v>20</v>
      </c>
      <c r="F89" s="42" t="s">
        <v>20</v>
      </c>
      <c r="G89" s="42" t="s">
        <v>19</v>
      </c>
      <c r="H89" s="42" t="s">
        <v>20</v>
      </c>
      <c r="I89" s="42" t="s">
        <v>20</v>
      </c>
      <c r="J89" s="42" t="s">
        <v>20</v>
      </c>
      <c r="K89" s="42"/>
      <c r="L89" s="39"/>
      <c r="M89" s="39"/>
      <c r="N89" s="40"/>
      <c r="O89" s="1"/>
      <c r="P89" s="1"/>
    </row>
    <row r="90" spans="1:16">
      <c r="A90" s="91" t="s">
        <v>104</v>
      </c>
      <c r="B90" s="52" t="s">
        <v>115</v>
      </c>
      <c r="C90" s="42" t="s">
        <v>16</v>
      </c>
      <c r="D90" s="42" t="s">
        <v>19</v>
      </c>
      <c r="E90" s="42" t="s">
        <v>19</v>
      </c>
      <c r="F90" s="42" t="s">
        <v>16</v>
      </c>
      <c r="G90" s="42" t="s">
        <v>16</v>
      </c>
      <c r="H90" s="42" t="s">
        <v>16</v>
      </c>
      <c r="I90" s="42" t="s">
        <v>19</v>
      </c>
      <c r="J90" s="42" t="s">
        <v>16</v>
      </c>
      <c r="K90" s="134"/>
      <c r="L90" s="53"/>
      <c r="M90" s="53"/>
      <c r="N90" s="54"/>
      <c r="O90" s="1"/>
      <c r="P90" s="1"/>
    </row>
    <row r="91" spans="1:16">
      <c r="A91" s="92" t="s">
        <v>116</v>
      </c>
      <c r="B91" s="58" t="s">
        <v>117</v>
      </c>
      <c r="C91" s="46" t="s">
        <v>16</v>
      </c>
      <c r="D91" s="46" t="s">
        <v>16</v>
      </c>
      <c r="E91" s="46" t="s">
        <v>16</v>
      </c>
      <c r="F91" s="46" t="s">
        <v>16</v>
      </c>
      <c r="G91" s="46" t="s">
        <v>16</v>
      </c>
      <c r="H91" s="46" t="s">
        <v>19</v>
      </c>
      <c r="I91" s="46" t="s">
        <v>19</v>
      </c>
      <c r="J91" s="46" t="s">
        <v>19</v>
      </c>
      <c r="K91" s="46"/>
      <c r="L91" s="59"/>
      <c r="M91" s="59"/>
      <c r="N91" s="60"/>
      <c r="O91" s="1"/>
      <c r="P91" s="1"/>
    </row>
    <row r="92" spans="1:16">
      <c r="A92" s="93" t="s">
        <v>116</v>
      </c>
      <c r="B92" s="55" t="s">
        <v>118</v>
      </c>
      <c r="C92" s="42" t="s">
        <v>16</v>
      </c>
      <c r="D92" s="42" t="s">
        <v>16</v>
      </c>
      <c r="E92" s="42" t="s">
        <v>16</v>
      </c>
      <c r="F92" s="42" t="s">
        <v>16</v>
      </c>
      <c r="G92" s="42" t="s">
        <v>16</v>
      </c>
      <c r="H92" s="42" t="s">
        <v>19</v>
      </c>
      <c r="I92" s="42" t="s">
        <v>19</v>
      </c>
      <c r="J92" s="42" t="s">
        <v>19</v>
      </c>
      <c r="K92" s="42"/>
      <c r="L92" s="56"/>
      <c r="M92" s="56"/>
      <c r="N92" s="57"/>
      <c r="O92" s="1"/>
      <c r="P92" s="1"/>
    </row>
    <row r="93" spans="1:16">
      <c r="A93" s="93" t="s">
        <v>116</v>
      </c>
      <c r="B93" s="49" t="s">
        <v>119</v>
      </c>
      <c r="C93" s="42" t="s">
        <v>16</v>
      </c>
      <c r="D93" s="42" t="s">
        <v>16</v>
      </c>
      <c r="E93" s="42" t="s">
        <v>16</v>
      </c>
      <c r="F93" s="42" t="s">
        <v>19</v>
      </c>
      <c r="G93" s="42" t="s">
        <v>16</v>
      </c>
      <c r="H93" s="42" t="s">
        <v>19</v>
      </c>
      <c r="I93" s="42" t="s">
        <v>20</v>
      </c>
      <c r="J93" s="42" t="s">
        <v>19</v>
      </c>
      <c r="K93" s="42"/>
      <c r="L93" s="50"/>
      <c r="M93" s="50"/>
      <c r="N93" s="51"/>
      <c r="O93" s="1"/>
      <c r="P93" s="1"/>
    </row>
    <row r="94" spans="1:16">
      <c r="A94" s="93" t="s">
        <v>116</v>
      </c>
      <c r="B94" s="64" t="s">
        <v>120</v>
      </c>
      <c r="C94" s="42" t="s">
        <v>20</v>
      </c>
      <c r="D94" s="42" t="s">
        <v>20</v>
      </c>
      <c r="E94" s="42" t="s">
        <v>20</v>
      </c>
      <c r="F94" s="42" t="s">
        <v>16</v>
      </c>
      <c r="G94" s="42" t="s">
        <v>20</v>
      </c>
      <c r="H94" s="42" t="s">
        <v>20</v>
      </c>
      <c r="I94" s="42" t="s">
        <v>20</v>
      </c>
      <c r="J94" s="42" t="s">
        <v>20</v>
      </c>
      <c r="K94" s="134"/>
      <c r="L94" s="65"/>
      <c r="M94" s="65"/>
      <c r="N94" s="66"/>
      <c r="O94" s="1"/>
      <c r="P94" s="1"/>
    </row>
    <row r="95" spans="1:16">
      <c r="A95" s="100" t="s">
        <v>121</v>
      </c>
      <c r="B95" s="81" t="s">
        <v>122</v>
      </c>
      <c r="C95" s="46" t="s">
        <v>16</v>
      </c>
      <c r="D95" s="46" t="s">
        <v>19</v>
      </c>
      <c r="E95" s="46" t="s">
        <v>16</v>
      </c>
      <c r="F95" s="46" t="s">
        <v>19</v>
      </c>
      <c r="G95" s="46" t="s">
        <v>16</v>
      </c>
      <c r="H95" s="46" t="s">
        <v>20</v>
      </c>
      <c r="I95" s="46" t="s">
        <v>20</v>
      </c>
      <c r="J95" s="46" t="s">
        <v>20</v>
      </c>
      <c r="K95" s="46"/>
      <c r="L95" s="82"/>
      <c r="M95" s="82"/>
      <c r="N95" s="83"/>
      <c r="O95" s="1"/>
      <c r="P95" s="1"/>
    </row>
    <row r="96" spans="1:16">
      <c r="A96" s="101" t="s">
        <v>121</v>
      </c>
      <c r="B96" s="78" t="s">
        <v>123</v>
      </c>
      <c r="C96" s="42" t="s">
        <v>16</v>
      </c>
      <c r="D96" s="42" t="s">
        <v>19</v>
      </c>
      <c r="E96" s="42" t="s">
        <v>16</v>
      </c>
      <c r="F96" s="42" t="s">
        <v>19</v>
      </c>
      <c r="G96" s="42" t="s">
        <v>19</v>
      </c>
      <c r="H96" s="42" t="s">
        <v>20</v>
      </c>
      <c r="I96" s="42" t="s">
        <v>20</v>
      </c>
      <c r="J96" s="42" t="s">
        <v>20</v>
      </c>
      <c r="K96" s="42"/>
      <c r="L96" s="79"/>
      <c r="M96" s="79"/>
      <c r="N96" s="80"/>
      <c r="O96" s="1"/>
      <c r="P96" s="1"/>
    </row>
    <row r="97" spans="1:16">
      <c r="A97" s="102" t="s">
        <v>121</v>
      </c>
      <c r="B97" s="72" t="s">
        <v>124</v>
      </c>
      <c r="C97" s="42" t="s">
        <v>16</v>
      </c>
      <c r="D97" s="42" t="s">
        <v>16</v>
      </c>
      <c r="E97" s="42" t="s">
        <v>16</v>
      </c>
      <c r="F97" s="42" t="s">
        <v>16</v>
      </c>
      <c r="G97" s="42" t="s">
        <v>16</v>
      </c>
      <c r="H97" s="42" t="s">
        <v>19</v>
      </c>
      <c r="I97" s="42" t="s">
        <v>19</v>
      </c>
      <c r="J97" s="42" t="s">
        <v>20</v>
      </c>
      <c r="K97" s="42"/>
      <c r="L97" s="73"/>
      <c r="M97" s="73"/>
      <c r="N97" s="74"/>
      <c r="O97" s="1"/>
      <c r="P97" s="1"/>
    </row>
    <row r="98" spans="1:16">
      <c r="A98" s="102" t="s">
        <v>121</v>
      </c>
      <c r="B98" s="32" t="s">
        <v>125</v>
      </c>
      <c r="C98" s="42" t="s">
        <v>16</v>
      </c>
      <c r="D98" s="42" t="s">
        <v>19</v>
      </c>
      <c r="E98" s="42" t="s">
        <v>19</v>
      </c>
      <c r="F98" s="42" t="s">
        <v>16</v>
      </c>
      <c r="G98" s="42" t="s">
        <v>16</v>
      </c>
      <c r="H98" s="42" t="s">
        <v>20</v>
      </c>
      <c r="I98" s="42" t="s">
        <v>20</v>
      </c>
      <c r="J98" s="42" t="s">
        <v>20</v>
      </c>
      <c r="K98" s="42"/>
      <c r="L98" s="33"/>
      <c r="M98" s="33"/>
      <c r="N98" s="34"/>
      <c r="O98" s="1"/>
      <c r="P98" s="1"/>
    </row>
    <row r="99" spans="1:16">
      <c r="A99" s="102" t="s">
        <v>121</v>
      </c>
      <c r="B99" s="72" t="s">
        <v>126</v>
      </c>
      <c r="C99" s="42" t="s">
        <v>16</v>
      </c>
      <c r="D99" s="42" t="s">
        <v>16</v>
      </c>
      <c r="E99" s="42" t="s">
        <v>16</v>
      </c>
      <c r="F99" s="42" t="s">
        <v>20</v>
      </c>
      <c r="G99" s="42" t="s">
        <v>16</v>
      </c>
      <c r="H99" s="42" t="s">
        <v>20</v>
      </c>
      <c r="I99" s="42" t="s">
        <v>20</v>
      </c>
      <c r="J99" s="42" t="s">
        <v>20</v>
      </c>
      <c r="K99" s="42"/>
      <c r="L99" s="73"/>
      <c r="M99" s="73"/>
      <c r="N99" s="74"/>
      <c r="O99" s="1"/>
      <c r="P99" s="1"/>
    </row>
    <row r="100" spans="1:16">
      <c r="A100" s="102" t="s">
        <v>121</v>
      </c>
      <c r="B100" s="72" t="s">
        <v>127</v>
      </c>
      <c r="C100" s="42" t="s">
        <v>19</v>
      </c>
      <c r="D100" s="42" t="s">
        <v>16</v>
      </c>
      <c r="E100" s="42" t="s">
        <v>19</v>
      </c>
      <c r="F100" s="42" t="s">
        <v>19</v>
      </c>
      <c r="G100" s="42" t="s">
        <v>16</v>
      </c>
      <c r="H100" s="42" t="s">
        <v>20</v>
      </c>
      <c r="I100" s="42" t="s">
        <v>20</v>
      </c>
      <c r="J100" s="42" t="s">
        <v>20</v>
      </c>
      <c r="K100" s="42"/>
      <c r="L100" s="33"/>
      <c r="M100" s="33"/>
      <c r="N100" s="34"/>
      <c r="O100" s="1"/>
      <c r="P100" s="1"/>
    </row>
    <row r="101" spans="1:16">
      <c r="A101" s="102" t="s">
        <v>121</v>
      </c>
      <c r="B101" s="72" t="s">
        <v>128</v>
      </c>
      <c r="C101" s="42" t="s">
        <v>16</v>
      </c>
      <c r="D101" s="42" t="s">
        <v>16</v>
      </c>
      <c r="E101" s="42" t="s">
        <v>19</v>
      </c>
      <c r="F101" s="42" t="s">
        <v>19</v>
      </c>
      <c r="G101" s="42" t="s">
        <v>19</v>
      </c>
      <c r="H101" s="42" t="s">
        <v>20</v>
      </c>
      <c r="I101" s="42" t="s">
        <v>20</v>
      </c>
      <c r="J101" s="42" t="s">
        <v>20</v>
      </c>
      <c r="K101" s="42"/>
      <c r="L101" s="73"/>
      <c r="M101" s="73"/>
      <c r="N101" s="74"/>
      <c r="O101" s="1"/>
      <c r="P101" s="1"/>
    </row>
    <row r="102" spans="1:16">
      <c r="A102" s="102" t="s">
        <v>121</v>
      </c>
      <c r="B102" s="32" t="s">
        <v>129</v>
      </c>
      <c r="C102" s="42" t="s">
        <v>19</v>
      </c>
      <c r="D102" s="42" t="s">
        <v>16</v>
      </c>
      <c r="E102" s="42" t="s">
        <v>19</v>
      </c>
      <c r="F102" s="42" t="s">
        <v>19</v>
      </c>
      <c r="G102" s="42" t="s">
        <v>19</v>
      </c>
      <c r="H102" s="42" t="s">
        <v>20</v>
      </c>
      <c r="I102" s="42" t="s">
        <v>20</v>
      </c>
      <c r="J102" s="42" t="s">
        <v>20</v>
      </c>
      <c r="K102" s="42"/>
      <c r="L102" s="33"/>
      <c r="M102" s="33"/>
      <c r="N102" s="34"/>
      <c r="O102" s="1"/>
      <c r="P102" s="1"/>
    </row>
    <row r="103" spans="1:16">
      <c r="A103" s="102" t="s">
        <v>121</v>
      </c>
      <c r="B103" s="32" t="s">
        <v>130</v>
      </c>
      <c r="C103" s="42" t="s">
        <v>19</v>
      </c>
      <c r="D103" s="42" t="s">
        <v>19</v>
      </c>
      <c r="E103" s="42" t="s">
        <v>19</v>
      </c>
      <c r="F103" s="42" t="s">
        <v>16</v>
      </c>
      <c r="G103" s="42" t="s">
        <v>19</v>
      </c>
      <c r="H103" s="42" t="s">
        <v>20</v>
      </c>
      <c r="I103" s="42" t="s">
        <v>20</v>
      </c>
      <c r="J103" s="42" t="s">
        <v>20</v>
      </c>
      <c r="K103" s="42"/>
      <c r="L103" s="33"/>
      <c r="M103" s="33"/>
      <c r="N103" s="34"/>
      <c r="O103" s="1"/>
      <c r="P103" s="1"/>
    </row>
    <row r="104" spans="1:16">
      <c r="A104" s="102" t="s">
        <v>121</v>
      </c>
      <c r="B104" s="32" t="s">
        <v>131</v>
      </c>
      <c r="C104" s="42" t="s">
        <v>16</v>
      </c>
      <c r="D104" s="42" t="s">
        <v>16</v>
      </c>
      <c r="E104" s="42" t="s">
        <v>19</v>
      </c>
      <c r="F104" s="42" t="s">
        <v>19</v>
      </c>
      <c r="G104" s="42" t="s">
        <v>16</v>
      </c>
      <c r="H104" s="42" t="s">
        <v>20</v>
      </c>
      <c r="I104" s="42" t="s">
        <v>20</v>
      </c>
      <c r="J104" s="42" t="s">
        <v>20</v>
      </c>
      <c r="K104" s="42"/>
      <c r="L104" s="33"/>
      <c r="M104" s="33"/>
      <c r="N104" s="34"/>
      <c r="O104" s="1"/>
      <c r="P104" s="1"/>
    </row>
    <row r="105" spans="1:16">
      <c r="A105" s="102" t="s">
        <v>121</v>
      </c>
      <c r="B105" s="32" t="s">
        <v>132</v>
      </c>
      <c r="C105" s="42" t="s">
        <v>19</v>
      </c>
      <c r="D105" s="42" t="s">
        <v>19</v>
      </c>
      <c r="E105" s="42" t="s">
        <v>19</v>
      </c>
      <c r="F105" s="42" t="s">
        <v>16</v>
      </c>
      <c r="G105" s="42" t="s">
        <v>16</v>
      </c>
      <c r="H105" s="42" t="s">
        <v>20</v>
      </c>
      <c r="I105" s="42" t="s">
        <v>20</v>
      </c>
      <c r="J105" s="42" t="s">
        <v>20</v>
      </c>
      <c r="K105" s="42"/>
      <c r="L105" s="33"/>
      <c r="M105" s="33"/>
      <c r="N105" s="34"/>
      <c r="O105" s="1"/>
      <c r="P105" s="1"/>
    </row>
    <row r="106" spans="1:16">
      <c r="A106" s="103" t="s">
        <v>121</v>
      </c>
      <c r="B106" s="84" t="s">
        <v>133</v>
      </c>
      <c r="C106" s="42" t="s">
        <v>16</v>
      </c>
      <c r="D106" s="42" t="s">
        <v>19</v>
      </c>
      <c r="E106" s="42" t="s">
        <v>16</v>
      </c>
      <c r="F106" s="42" t="s">
        <v>16</v>
      </c>
      <c r="G106" s="42" t="s">
        <v>19</v>
      </c>
      <c r="H106" s="42" t="s">
        <v>20</v>
      </c>
      <c r="I106" s="42" t="s">
        <v>20</v>
      </c>
      <c r="J106" s="42" t="s">
        <v>20</v>
      </c>
      <c r="K106" s="134"/>
      <c r="L106" s="85"/>
      <c r="M106" s="85"/>
      <c r="N106" s="86"/>
      <c r="O106" s="1"/>
      <c r="P106" s="1"/>
    </row>
    <row r="107" spans="1:16">
      <c r="A107" s="92" t="s">
        <v>134</v>
      </c>
      <c r="B107" s="58" t="s">
        <v>135</v>
      </c>
      <c r="C107" s="46" t="s">
        <v>19</v>
      </c>
      <c r="D107" s="46" t="s">
        <v>19</v>
      </c>
      <c r="E107" s="46" t="s">
        <v>16</v>
      </c>
      <c r="F107" s="46" t="s">
        <v>16</v>
      </c>
      <c r="G107" s="46" t="s">
        <v>16</v>
      </c>
      <c r="H107" s="46" t="s">
        <v>19</v>
      </c>
      <c r="I107" s="46" t="s">
        <v>19</v>
      </c>
      <c r="J107" s="46" t="s">
        <v>16</v>
      </c>
      <c r="K107" s="46"/>
      <c r="L107" s="59"/>
      <c r="M107" s="59"/>
      <c r="N107" s="60"/>
      <c r="O107" s="1"/>
      <c r="P107" s="1"/>
    </row>
    <row r="108" spans="1:16">
      <c r="A108" s="93" t="s">
        <v>134</v>
      </c>
      <c r="B108" s="55" t="s">
        <v>136</v>
      </c>
      <c r="C108" s="42" t="s">
        <v>20</v>
      </c>
      <c r="D108" s="42" t="s">
        <v>20</v>
      </c>
      <c r="E108" s="42" t="s">
        <v>19</v>
      </c>
      <c r="F108" s="42" t="s">
        <v>19</v>
      </c>
      <c r="G108" s="42" t="s">
        <v>20</v>
      </c>
      <c r="H108" s="42" t="s">
        <v>20</v>
      </c>
      <c r="I108" s="42" t="s">
        <v>20</v>
      </c>
      <c r="J108" s="42" t="s">
        <v>19</v>
      </c>
      <c r="K108" s="42"/>
      <c r="L108" s="56"/>
      <c r="M108" s="56"/>
      <c r="N108" s="57"/>
      <c r="O108" s="1"/>
      <c r="P108" s="1"/>
    </row>
    <row r="109" spans="1:16">
      <c r="A109" s="94" t="s">
        <v>134</v>
      </c>
      <c r="B109" s="49" t="s">
        <v>137</v>
      </c>
      <c r="C109" s="42" t="s">
        <v>20</v>
      </c>
      <c r="D109" s="42" t="s">
        <v>20</v>
      </c>
      <c r="E109" s="42" t="s">
        <v>20</v>
      </c>
      <c r="F109" s="42" t="s">
        <v>19</v>
      </c>
      <c r="G109" s="42" t="s">
        <v>20</v>
      </c>
      <c r="H109" s="42" t="s">
        <v>20</v>
      </c>
      <c r="I109" s="42" t="s">
        <v>20</v>
      </c>
      <c r="J109" s="42" t="s">
        <v>20</v>
      </c>
      <c r="K109" s="42"/>
      <c r="L109" s="50"/>
      <c r="M109" s="50"/>
      <c r="N109" s="51"/>
      <c r="O109" s="1"/>
      <c r="P109" s="1"/>
    </row>
    <row r="110" spans="1:16">
      <c r="A110" s="119" t="s">
        <v>134</v>
      </c>
      <c r="B110" s="120" t="s">
        <v>138</v>
      </c>
      <c r="C110" s="116" t="s">
        <v>20</v>
      </c>
      <c r="D110" s="116" t="s">
        <v>20</v>
      </c>
      <c r="E110" s="116" t="s">
        <v>20</v>
      </c>
      <c r="F110" s="116" t="s">
        <v>20</v>
      </c>
      <c r="G110" s="116" t="s">
        <v>20</v>
      </c>
      <c r="H110" s="116" t="s">
        <v>20</v>
      </c>
      <c r="I110" s="116" t="s">
        <v>20</v>
      </c>
      <c r="J110" s="116" t="s">
        <v>20</v>
      </c>
      <c r="K110" s="116"/>
      <c r="L110" s="121"/>
      <c r="M110" s="121"/>
      <c r="N110" s="122"/>
      <c r="O110" s="1"/>
      <c r="P110" s="1"/>
    </row>
    <row r="111" spans="1:16" ht="30.75" customHeight="1">
      <c r="A111" s="135" t="s">
        <v>139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</row>
    <row r="112" spans="1:16">
      <c r="A112" s="123" t="s">
        <v>140</v>
      </c>
      <c r="B112" s="55" t="s">
        <v>117</v>
      </c>
      <c r="C112" s="42" t="s">
        <v>19</v>
      </c>
      <c r="D112" s="42" t="s">
        <v>16</v>
      </c>
      <c r="E112" s="42" t="s">
        <v>16</v>
      </c>
      <c r="F112" s="42" t="s">
        <v>16</v>
      </c>
      <c r="G112" s="42" t="s">
        <v>16</v>
      </c>
      <c r="H112" s="42" t="s">
        <v>19</v>
      </c>
      <c r="I112" s="42" t="s">
        <v>19</v>
      </c>
      <c r="J112" s="42" t="s">
        <v>19</v>
      </c>
      <c r="K112" s="42"/>
      <c r="L112" s="56"/>
      <c r="M112" s="56"/>
      <c r="N112" s="124"/>
    </row>
    <row r="113" spans="1:14">
      <c r="A113" s="123" t="s">
        <v>140</v>
      </c>
      <c r="B113" s="55" t="s">
        <v>118</v>
      </c>
      <c r="C113" s="42" t="s">
        <v>19</v>
      </c>
      <c r="D113" s="42" t="s">
        <v>16</v>
      </c>
      <c r="E113" s="42" t="s">
        <v>19</v>
      </c>
      <c r="F113" s="42" t="s">
        <v>16</v>
      </c>
      <c r="G113" s="42" t="s">
        <v>16</v>
      </c>
      <c r="H113" s="42" t="s">
        <v>19</v>
      </c>
      <c r="I113" s="42" t="s">
        <v>19</v>
      </c>
      <c r="J113" s="42" t="s">
        <v>19</v>
      </c>
      <c r="K113" s="42"/>
      <c r="L113" s="56"/>
      <c r="M113" s="56"/>
      <c r="N113" s="124"/>
    </row>
    <row r="114" spans="1:14">
      <c r="A114" s="123" t="s">
        <v>140</v>
      </c>
      <c r="B114" s="55" t="s">
        <v>119</v>
      </c>
      <c r="C114" s="42" t="s">
        <v>19</v>
      </c>
      <c r="D114" s="42" t="s">
        <v>16</v>
      </c>
      <c r="E114" s="42" t="s">
        <v>16</v>
      </c>
      <c r="F114" s="42" t="s">
        <v>16</v>
      </c>
      <c r="G114" s="42" t="s">
        <v>16</v>
      </c>
      <c r="H114" s="42" t="s">
        <v>19</v>
      </c>
      <c r="I114" s="42" t="s">
        <v>20</v>
      </c>
      <c r="J114" s="42" t="s">
        <v>19</v>
      </c>
      <c r="K114" s="42"/>
      <c r="L114" s="56"/>
      <c r="M114" s="56"/>
      <c r="N114" s="124"/>
    </row>
    <row r="115" spans="1:14">
      <c r="A115" s="123" t="s">
        <v>140</v>
      </c>
      <c r="B115" s="55" t="s">
        <v>120</v>
      </c>
      <c r="C115" s="42" t="s">
        <v>20</v>
      </c>
      <c r="D115" s="42" t="s">
        <v>20</v>
      </c>
      <c r="E115" s="42" t="s">
        <v>20</v>
      </c>
      <c r="F115" s="42" t="s">
        <v>16</v>
      </c>
      <c r="G115" s="42" t="s">
        <v>20</v>
      </c>
      <c r="H115" s="42" t="s">
        <v>20</v>
      </c>
      <c r="I115" s="42" t="s">
        <v>20</v>
      </c>
      <c r="J115" s="42" t="s">
        <v>20</v>
      </c>
      <c r="K115" s="42"/>
      <c r="L115" s="56"/>
      <c r="M115" s="56"/>
      <c r="N115" s="124"/>
    </row>
    <row r="116" spans="1:14">
      <c r="A116" s="123" t="s">
        <v>141</v>
      </c>
      <c r="B116" s="55" t="s">
        <v>142</v>
      </c>
      <c r="C116" s="42" t="s">
        <v>19</v>
      </c>
      <c r="D116" s="42" t="s">
        <v>20</v>
      </c>
      <c r="E116" s="42" t="s">
        <v>19</v>
      </c>
      <c r="F116" s="42" t="s">
        <v>16</v>
      </c>
      <c r="G116" s="42" t="s">
        <v>20</v>
      </c>
      <c r="H116" s="42" t="s">
        <v>20</v>
      </c>
      <c r="I116" s="42" t="s">
        <v>19</v>
      </c>
      <c r="J116" s="42" t="s">
        <v>16</v>
      </c>
      <c r="K116" s="42"/>
      <c r="L116" s="56"/>
      <c r="M116" s="56"/>
      <c r="N116" s="124"/>
    </row>
    <row r="117" spans="1:14">
      <c r="A117" s="123" t="s">
        <v>143</v>
      </c>
      <c r="B117" s="55" t="s">
        <v>144</v>
      </c>
      <c r="C117" s="42" t="s">
        <v>20</v>
      </c>
      <c r="D117" s="42" t="s">
        <v>20</v>
      </c>
      <c r="E117" s="42" t="s">
        <v>19</v>
      </c>
      <c r="F117" s="42" t="s">
        <v>16</v>
      </c>
      <c r="G117" s="42" t="s">
        <v>20</v>
      </c>
      <c r="H117" s="42" t="s">
        <v>20</v>
      </c>
      <c r="I117" s="42" t="s">
        <v>20</v>
      </c>
      <c r="J117" s="42" t="s">
        <v>19</v>
      </c>
      <c r="K117" s="42"/>
      <c r="L117" s="56"/>
      <c r="M117" s="56"/>
      <c r="N117" s="124"/>
    </row>
    <row r="118" spans="1:14">
      <c r="A118" s="123" t="s">
        <v>143</v>
      </c>
      <c r="B118" s="55" t="s">
        <v>145</v>
      </c>
      <c r="C118" s="42" t="s">
        <v>20</v>
      </c>
      <c r="D118" s="42" t="s">
        <v>20</v>
      </c>
      <c r="E118" s="42" t="s">
        <v>19</v>
      </c>
      <c r="F118" s="42" t="s">
        <v>16</v>
      </c>
      <c r="G118" s="42" t="s">
        <v>20</v>
      </c>
      <c r="H118" s="42" t="s">
        <v>20</v>
      </c>
      <c r="I118" s="42" t="s">
        <v>19</v>
      </c>
      <c r="J118" s="42" t="s">
        <v>19</v>
      </c>
      <c r="K118" s="42"/>
      <c r="L118" s="56"/>
      <c r="M118" s="56"/>
      <c r="N118" s="124"/>
    </row>
    <row r="119" spans="1:14">
      <c r="A119" s="123" t="s">
        <v>143</v>
      </c>
      <c r="B119" s="55" t="s">
        <v>146</v>
      </c>
      <c r="C119" s="42" t="s">
        <v>20</v>
      </c>
      <c r="D119" s="42" t="s">
        <v>20</v>
      </c>
      <c r="E119" s="42" t="s">
        <v>20</v>
      </c>
      <c r="F119" s="42" t="s">
        <v>16</v>
      </c>
      <c r="G119" s="42" t="s">
        <v>20</v>
      </c>
      <c r="H119" s="42" t="s">
        <v>20</v>
      </c>
      <c r="I119" s="42" t="s">
        <v>20</v>
      </c>
      <c r="J119" s="42" t="s">
        <v>16</v>
      </c>
      <c r="K119" s="42"/>
      <c r="L119" s="56"/>
      <c r="M119" s="56"/>
      <c r="N119" s="124"/>
    </row>
    <row r="120" spans="1:14">
      <c r="A120" s="125" t="s">
        <v>147</v>
      </c>
      <c r="B120" s="126" t="s">
        <v>148</v>
      </c>
      <c r="C120" s="118" t="s">
        <v>19</v>
      </c>
      <c r="D120" s="118" t="s">
        <v>19</v>
      </c>
      <c r="E120" s="118" t="s">
        <v>19</v>
      </c>
      <c r="F120" s="118" t="s">
        <v>16</v>
      </c>
      <c r="G120" s="118" t="s">
        <v>19</v>
      </c>
      <c r="H120" s="118" t="s">
        <v>19</v>
      </c>
      <c r="I120" s="118" t="s">
        <v>19</v>
      </c>
      <c r="J120" s="118" t="s">
        <v>19</v>
      </c>
      <c r="K120" s="118"/>
      <c r="L120" s="127"/>
      <c r="M120" s="127"/>
      <c r="N120" s="128"/>
    </row>
  </sheetData>
  <mergeCells count="1">
    <mergeCell ref="A111:N111"/>
  </mergeCells>
  <conditionalFormatting sqref="C36:N36 C112:K120 C2:K35 C37:K110">
    <cfRule type="expression" dxfId="162" priority="37">
      <formula>C2="L0"</formula>
    </cfRule>
  </conditionalFormatting>
  <conditionalFormatting sqref="C36:N36 C112:K120 C2:K35 C37:K110">
    <cfRule type="expression" dxfId="161" priority="38">
      <formula>C2="L1"</formula>
    </cfRule>
  </conditionalFormatting>
  <conditionalFormatting sqref="C36:N36 C112:K120 C2:K35 C37:K110">
    <cfRule type="expression" dxfId="160" priority="39">
      <formula>C2="L2"</formula>
    </cfRule>
  </conditionalFormatting>
  <dataValidations count="2">
    <dataValidation type="list" allowBlank="1" showInputMessage="1" showErrorMessage="1" errorTitle="Invalid team member" error="Select a name from the dropdown." promptTitle="Team member" prompt="Choose a team member from the list." sqref="L112:N120 L2:N110" xr:uid="{00000000-0002-0000-0000-000000000000}">
      <formula1>$C$1:$J$1</formula1>
      <formula2>0</formula2>
    </dataValidation>
    <dataValidation type="list" allowBlank="1" showInputMessage="1" showErrorMessage="1" errorTitle="Level không hợp lệ" error="Chỉ chọn L0, L1 hoặc L2." promptTitle="Mức năng lực" prompt="Chọn một trong ba mức: L0, L1 hoặc L2." sqref="C112:K120 C2:K110" xr:uid="{00000000-0002-0000-0000-000001000000}">
      <formula1>"L0,L1,L2"</formula1>
    </dataValidation>
  </dataValidations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8576"/>
  <sheetViews>
    <sheetView zoomScaleNormal="100" workbookViewId="0">
      <selection activeCell="C4" sqref="C4"/>
    </sheetView>
  </sheetViews>
  <sheetFormatPr defaultColWidth="8.42578125" defaultRowHeight="15"/>
  <cols>
    <col min="1" max="1" width="11.42578125" customWidth="1"/>
    <col min="2" max="2" width="36.140625" customWidth="1"/>
    <col min="3" max="3" width="68.5703125" customWidth="1"/>
    <col min="4" max="17" width="24" customWidth="1"/>
  </cols>
  <sheetData>
    <row r="1" spans="1:4" ht="27.75" customHeight="1">
      <c r="A1" s="8" t="s">
        <v>149</v>
      </c>
      <c r="B1" s="8" t="s">
        <v>150</v>
      </c>
      <c r="C1" s="5" t="s">
        <v>151</v>
      </c>
      <c r="D1" s="1"/>
    </row>
    <row r="2" spans="1:4">
      <c r="A2" s="2" t="s">
        <v>20</v>
      </c>
      <c r="B2" s="10" t="s">
        <v>152</v>
      </c>
      <c r="C2" s="6" t="s">
        <v>153</v>
      </c>
      <c r="D2" s="1"/>
    </row>
    <row r="3" spans="1:4" ht="30.75">
      <c r="A3" s="9" t="s">
        <v>19</v>
      </c>
      <c r="B3" s="11" t="s">
        <v>154</v>
      </c>
      <c r="C3" s="7" t="s">
        <v>155</v>
      </c>
      <c r="D3" s="1"/>
    </row>
    <row r="4" spans="1:4" ht="30.75">
      <c r="A4" s="2" t="s">
        <v>16</v>
      </c>
      <c r="B4" s="10" t="s">
        <v>156</v>
      </c>
      <c r="C4" s="6" t="s">
        <v>157</v>
      </c>
      <c r="D4" s="1"/>
    </row>
    <row r="5" spans="1:4">
      <c r="A5" s="1"/>
      <c r="B5" s="1"/>
      <c r="C5" s="1"/>
      <c r="D5" s="1"/>
    </row>
    <row r="1048575" ht="12.75"/>
    <row r="1048576" ht="12.75"/>
  </sheetData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F4B4-DC53-4995-BCC6-5E6F3939737C}">
  <dimension ref="A1:N90"/>
  <sheetViews>
    <sheetView topLeftCell="A30" workbookViewId="0">
      <selection activeCell="I35" sqref="I35:K35"/>
    </sheetView>
  </sheetViews>
  <sheetFormatPr defaultRowHeight="15"/>
  <cols>
    <col min="1" max="14" width="13" customWidth="1"/>
  </cols>
  <sheetData>
    <row r="1" spans="1:14" ht="33.75" customHeight="1">
      <c r="A1" s="140" t="s">
        <v>158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</row>
    <row r="2" spans="1:14" ht="21.75" customHeight="1">
      <c r="A2" s="141" t="s">
        <v>159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</row>
    <row r="3" spans="1:14" ht="9.7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</row>
    <row r="4" spans="1:14">
      <c r="A4" s="142" t="s">
        <v>160</v>
      </c>
      <c r="B4" s="143"/>
      <c r="C4" s="131"/>
      <c r="D4" s="142" t="s">
        <v>161</v>
      </c>
      <c r="E4" s="143"/>
      <c r="F4" s="131"/>
      <c r="G4" s="142" t="s">
        <v>162</v>
      </c>
      <c r="H4" s="143"/>
      <c r="I4" s="131"/>
      <c r="J4" s="142" t="s">
        <v>163</v>
      </c>
      <c r="K4" s="143"/>
      <c r="L4" s="131"/>
      <c r="M4" s="142" t="s">
        <v>164</v>
      </c>
      <c r="N4" s="143"/>
    </row>
    <row r="5" spans="1:14">
      <c r="A5" s="144">
        <f>ROWS(_xlfn.ANCHORARRAY('Chart Data'!A2))</f>
        <v>16</v>
      </c>
      <c r="B5" s="145"/>
      <c r="C5" s="131"/>
      <c r="D5" s="144">
        <f>SUM(_xlfn.CHOOSECOLS(_xlfn.ANCHORARRAY('Chart Data'!A2),3))</f>
        <v>118</v>
      </c>
      <c r="E5" s="145"/>
      <c r="F5" s="131"/>
      <c r="G5" s="144">
        <f>ROWS(_xlfn.ANCHORARRAY('Chart Data'!E2))</f>
        <v>9</v>
      </c>
      <c r="H5" s="145"/>
      <c r="I5" s="131"/>
      <c r="J5" s="148">
        <f>SUM(_xlfn.CHOOSECOLS(_xlfn.ANCHORARRAY('Chart Data'!E2),3))/(SUM(_xlfn.CHOOSECOLS(_xlfn.ANCHORARRAY('Chart Data'!A2),3))*ROWS(_xlfn.ANCHORARRAY('Chart Data'!E2)))</f>
        <v>0.88794726930320156</v>
      </c>
      <c r="K5" s="145"/>
      <c r="L5" s="131"/>
      <c r="M5" s="149">
        <f>SUMPRODUCT(_xlfn.CHOOSECOLS(_xlfn.ANCHORARRAY('Chart Data'!E2),2),_xlfn.CHOOSECOLS(_xlfn.ANCHORARRAY('Chart Data'!E2),3))/SUM(_xlfn.CHOOSECOLS(_xlfn.ANCHORARRAY('Chart Data'!E2),3))</f>
        <v>1.11983032873807</v>
      </c>
      <c r="N5" s="145"/>
    </row>
    <row r="6" spans="1:14">
      <c r="A6" s="146"/>
      <c r="B6" s="147"/>
      <c r="C6" s="131"/>
      <c r="D6" s="146"/>
      <c r="E6" s="147"/>
      <c r="F6" s="131"/>
      <c r="G6" s="146"/>
      <c r="H6" s="147"/>
      <c r="I6" s="131"/>
      <c r="J6" s="146"/>
      <c r="K6" s="147"/>
      <c r="L6" s="131"/>
      <c r="M6" s="146"/>
      <c r="N6" s="147"/>
    </row>
    <row r="7" spans="1:14" ht="9.75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</row>
    <row r="8" spans="1:14" ht="21.75" customHeight="1">
      <c r="A8" s="138" t="s">
        <v>165</v>
      </c>
      <c r="B8" s="138"/>
      <c r="C8" s="138"/>
      <c r="D8" s="138"/>
      <c r="E8" s="138"/>
      <c r="F8" s="138"/>
      <c r="G8" s="138"/>
      <c r="H8" s="138" t="s">
        <v>166</v>
      </c>
      <c r="I8" s="138"/>
      <c r="J8" s="138"/>
      <c r="K8" s="138"/>
      <c r="L8" s="138"/>
      <c r="M8" s="138"/>
      <c r="N8" s="138"/>
    </row>
    <row r="9" spans="1:14" ht="18" customHeight="1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</row>
    <row r="10" spans="1:14" ht="18" customHeight="1">
      <c r="A10" s="131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</row>
    <row r="11" spans="1:14" ht="18" customHeight="1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</row>
    <row r="12" spans="1:14" ht="18" customHeight="1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</row>
    <row r="13" spans="1:14" ht="18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</row>
    <row r="14" spans="1:14" ht="18" customHeight="1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</row>
    <row r="15" spans="1:14" ht="18" customHeight="1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</row>
    <row r="16" spans="1:14" ht="18" customHeight="1">
      <c r="A16" s="131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</row>
    <row r="17" spans="1:14" ht="18" customHeight="1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</row>
    <row r="18" spans="1:14" ht="18" customHeight="1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</row>
    <row r="19" spans="1:14" ht="18" customHeight="1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</row>
    <row r="20" spans="1:14" ht="18" customHeight="1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</row>
    <row r="21" spans="1:14" ht="18" customHeight="1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</row>
    <row r="22" spans="1:14" ht="18" customHeight="1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</row>
    <row r="23" spans="1:14" ht="18" customHeight="1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</row>
    <row r="24" spans="1:14" ht="18" customHeight="1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</row>
    <row r="25" spans="1:14" ht="18" customHeight="1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</row>
    <row r="26" spans="1:14" ht="18" customHeight="1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</row>
    <row r="27" spans="1:14" ht="18" customHeight="1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</row>
    <row r="28" spans="1:14" ht="18" customHeight="1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</row>
    <row r="29" spans="1:14" ht="18" customHeight="1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</row>
    <row r="30" spans="1:14" ht="18" customHeight="1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</row>
    <row r="31" spans="1:14" ht="18" customHeight="1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</row>
    <row r="32" spans="1:14">
      <c r="A32" s="137" t="s">
        <v>167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</row>
    <row r="33" spans="1:14" ht="9.75" customHeight="1"/>
    <row r="34" spans="1:14" ht="24" customHeight="1">
      <c r="A34" s="138" t="s">
        <v>168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1:14" ht="24" customHeight="1">
      <c r="A35" s="132" t="s">
        <v>169</v>
      </c>
      <c r="B35" s="139" t="s">
        <v>4</v>
      </c>
      <c r="C35" s="139"/>
      <c r="D35" s="139"/>
      <c r="E35" s="180" t="str">
        <f>"Đang xem: "&amp;B35</f>
        <v>Đang xem: Tuấn</v>
      </c>
      <c r="F35" s="180"/>
      <c r="G35" s="180"/>
      <c r="H35" s="132" t="s">
        <v>170</v>
      </c>
      <c r="I35" s="139" t="s">
        <v>30</v>
      </c>
      <c r="J35" s="139"/>
      <c r="K35" s="139"/>
      <c r="L35" s="133" t="s">
        <v>171</v>
      </c>
      <c r="M35" s="151">
        <v>0.6</v>
      </c>
      <c r="N35" s="152"/>
    </row>
    <row r="36" spans="1:14" ht="21.75" customHeight="1">
      <c r="A36" s="150" t="s">
        <v>172</v>
      </c>
      <c r="B36" s="150"/>
      <c r="C36" s="150"/>
      <c r="D36" s="150"/>
      <c r="E36" s="150"/>
      <c r="F36" s="150"/>
      <c r="G36" s="150"/>
      <c r="H36" s="150" t="s">
        <v>173</v>
      </c>
      <c r="I36" s="150"/>
      <c r="J36" s="150"/>
      <c r="K36" s="150"/>
      <c r="L36" s="150"/>
      <c r="M36" s="150"/>
      <c r="N36" s="150"/>
    </row>
    <row r="37" spans="1:14" ht="18" customHeight="1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</row>
    <row r="38" spans="1:14" ht="18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</row>
    <row r="39" spans="1:14" ht="18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</row>
    <row r="40" spans="1:14" ht="18" customHeight="1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</row>
    <row r="41" spans="1:14" ht="18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</row>
    <row r="42" spans="1:14" ht="18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</row>
    <row r="43" spans="1:14" ht="18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</row>
    <row r="44" spans="1:14" ht="18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</row>
    <row r="45" spans="1:14" ht="18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</row>
    <row r="46" spans="1:14" ht="18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</row>
    <row r="47" spans="1:14" ht="18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</row>
    <row r="48" spans="1:14" ht="18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</row>
    <row r="49" spans="1:14" ht="18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</row>
    <row r="50" spans="1:14" ht="18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</row>
    <row r="51" spans="1:14" ht="18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</row>
    <row r="52" spans="1:14" ht="18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</row>
    <row r="53" spans="1:14" ht="18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</row>
    <row r="54" spans="1:14" ht="18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</row>
    <row r="55" spans="1:14" ht="18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</row>
    <row r="56" spans="1:14" ht="18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</row>
    <row r="57" spans="1:14" ht="18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</row>
    <row r="58" spans="1:14" ht="18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</row>
    <row r="59" spans="1:14" ht="18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</row>
    <row r="60" spans="1:14" ht="18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</row>
    <row r="61" spans="1:14">
      <c r="A61" s="181" t="s">
        <v>174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</row>
    <row r="62" spans="1:14" ht="9.75" customHeight="1"/>
    <row r="63" spans="1:14" ht="23.25" customHeight="1"/>
    <row r="64" spans="1:14" ht="24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</sheetData>
  <mergeCells count="23">
    <mergeCell ref="A5:B6"/>
    <mergeCell ref="D5:E6"/>
    <mergeCell ref="G5:H6"/>
    <mergeCell ref="J5:K6"/>
    <mergeCell ref="M5:N6"/>
    <mergeCell ref="A1:N1"/>
    <mergeCell ref="A2:N2"/>
    <mergeCell ref="A4:B4"/>
    <mergeCell ref="D4:E4"/>
    <mergeCell ref="G4:H4"/>
    <mergeCell ref="J4:K4"/>
    <mergeCell ref="M4:N4"/>
    <mergeCell ref="A32:N32"/>
    <mergeCell ref="A34:N34"/>
    <mergeCell ref="B35:D35"/>
    <mergeCell ref="A61:N61"/>
    <mergeCell ref="A8:G8"/>
    <mergeCell ref="H8:N8"/>
    <mergeCell ref="E35:G35"/>
    <mergeCell ref="I35:K35"/>
    <mergeCell ref="A36:G36"/>
    <mergeCell ref="H36:N36"/>
    <mergeCell ref="M35:N35"/>
  </mergeCells>
  <dataValidations count="3">
    <dataValidation type="list" allowBlank="1" showInputMessage="1" showErrorMessage="1" sqref="B35" xr:uid="{9349E6BF-61F4-48F0-A6D1-FF04EBAD5761}">
      <formula1>MemberFilterList</formula1>
    </dataValidation>
    <dataValidation type="list" allowBlank="1" showInputMessage="1" showErrorMessage="1" sqref="I35" xr:uid="{E0B03B68-9338-45D6-94C6-0817346528F7}">
      <formula1>DomainFilterList</formula1>
    </dataValidation>
    <dataValidation type="decimal" allowBlank="1" showInputMessage="1" showErrorMessage="1" errorTitle="Giá trị không hợp lệ" error="Vui lòng nhập tỷ lệ từ 0% đến 100%." promptTitle="Chuẩn Skill" prompt="Nhập tỷ lệ từ 0% đến 100%, ví dụ 60%." sqref="M35" xr:uid="{4200F3AA-A024-45E0-B38E-2CEF0710EF2C}">
      <formula1>0</formula1>
      <formula2>1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D7E1-6FF1-4656-B80E-1B78360A32EA}">
  <sheetPr>
    <tabColor rgb="FFFF0000"/>
  </sheetPr>
  <dimension ref="A1:AG132"/>
  <sheetViews>
    <sheetView workbookViewId="0">
      <pane ySplit="2" topLeftCell="B29" activePane="bottomLeft" state="frozen"/>
      <selection pane="bottomLeft" activeCell="AI8" sqref="AI8"/>
    </sheetView>
  </sheetViews>
  <sheetFormatPr defaultRowHeight="15"/>
  <cols>
    <col min="1" max="1" width="16.7109375" customWidth="1"/>
    <col min="2" max="2" width="29.5703125" customWidth="1"/>
    <col min="3" max="3" width="20" customWidth="1"/>
    <col min="4" max="4" width="32.42578125" customWidth="1"/>
    <col min="5" max="5" width="22.85546875" customWidth="1"/>
    <col min="6" max="6" width="27.5703125" customWidth="1"/>
    <col min="7" max="7" width="29.5703125" customWidth="1"/>
    <col min="8" max="8" width="38.140625" customWidth="1"/>
    <col min="9" max="9" width="40" customWidth="1"/>
    <col min="10" max="11" width="18.140625" customWidth="1"/>
    <col min="12" max="12" width="35.28515625" customWidth="1"/>
    <col min="13" max="20" width="11" customWidth="1"/>
    <col min="21" max="22" width="21" customWidth="1"/>
    <col min="23" max="25" width="17.5703125" customWidth="1"/>
    <col min="26" max="26" width="18.28515625" customWidth="1"/>
    <col min="27" max="33" width="0" hidden="1" customWidth="1"/>
  </cols>
  <sheetData>
    <row r="1" spans="1:33" ht="32.25" customHeight="1">
      <c r="A1" s="153" t="s">
        <v>175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"/>
      <c r="N1" s="1"/>
      <c r="O1" s="1"/>
      <c r="P1" s="1"/>
      <c r="Q1" s="1"/>
      <c r="R1" s="1"/>
      <c r="S1" s="1"/>
      <c r="T1" s="1"/>
      <c r="U1" s="1"/>
      <c r="V1" s="1"/>
      <c r="AA1" t="s">
        <v>176</v>
      </c>
      <c r="AB1" t="s">
        <v>177</v>
      </c>
      <c r="AC1" t="s">
        <v>178</v>
      </c>
      <c r="AD1" t="s">
        <v>179</v>
      </c>
      <c r="AE1" t="s">
        <v>180</v>
      </c>
      <c r="AF1" t="s">
        <v>181</v>
      </c>
      <c r="AG1" t="s">
        <v>182</v>
      </c>
    </row>
    <row r="2" spans="1:33" ht="24" customHeight="1">
      <c r="A2" s="154" t="s">
        <v>183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"/>
      <c r="N2" s="1"/>
      <c r="O2" s="1"/>
      <c r="P2" s="1"/>
      <c r="Q2" s="1"/>
      <c r="R2" s="1"/>
      <c r="S2" s="1"/>
      <c r="T2" s="1"/>
      <c r="U2" s="1"/>
      <c r="V2" s="1"/>
      <c r="AA2" t="str" cm="1">
        <f t="array" ref="AA2:AA10">_xlfn.ANCHORARRAY('Chart Data'!M2)</f>
        <v>Toàn</v>
      </c>
      <c r="AB2" t="s">
        <v>184</v>
      </c>
      <c r="AC2" t="s">
        <v>185</v>
      </c>
      <c r="AD2" t="s">
        <v>186</v>
      </c>
      <c r="AE2" t="s">
        <v>187</v>
      </c>
      <c r="AF2" t="s">
        <v>188</v>
      </c>
      <c r="AG2" t="s">
        <v>189</v>
      </c>
    </row>
    <row r="3" spans="1:33" ht="21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AA3" t="str">
        <v>Long</v>
      </c>
      <c r="AB3" t="s">
        <v>190</v>
      </c>
      <c r="AC3" t="s">
        <v>191</v>
      </c>
      <c r="AD3" t="s">
        <v>192</v>
      </c>
      <c r="AE3" t="s">
        <v>193</v>
      </c>
      <c r="AF3" t="s">
        <v>194</v>
      </c>
      <c r="AG3" t="s">
        <v>195</v>
      </c>
    </row>
    <row r="4" spans="1:33" ht="24" customHeight="1">
      <c r="A4" s="155" t="s">
        <v>196</v>
      </c>
      <c r="B4" s="156"/>
      <c r="C4" s="156"/>
      <c r="D4" s="161" t="s">
        <v>190</v>
      </c>
      <c r="E4" s="162"/>
      <c r="F4" s="162"/>
      <c r="G4" s="165" t="s">
        <v>197</v>
      </c>
      <c r="H4" s="166"/>
      <c r="I4" s="166"/>
      <c r="J4" s="155" t="s">
        <v>198</v>
      </c>
      <c r="K4" s="156"/>
      <c r="L4" s="169"/>
      <c r="M4" s="1"/>
      <c r="N4" s="1"/>
      <c r="O4" s="1"/>
      <c r="P4" s="1"/>
      <c r="Q4" s="1"/>
      <c r="R4" s="1"/>
      <c r="S4" s="1"/>
      <c r="T4" s="1"/>
      <c r="U4" s="1"/>
      <c r="V4" s="1"/>
      <c r="AA4" t="str">
        <v>Tuấn</v>
      </c>
      <c r="AB4" t="s">
        <v>197</v>
      </c>
      <c r="AC4" t="s">
        <v>197</v>
      </c>
      <c r="AD4" t="s">
        <v>199</v>
      </c>
      <c r="AE4" t="s">
        <v>200</v>
      </c>
      <c r="AF4" t="s">
        <v>201</v>
      </c>
      <c r="AG4" t="s">
        <v>202</v>
      </c>
    </row>
    <row r="5" spans="1:33" ht="24" customHeight="1">
      <c r="A5" s="157">
        <f>COUNTIF(A10:A29,"&lt;&gt;")</f>
        <v>1</v>
      </c>
      <c r="B5" s="158"/>
      <c r="C5" s="158"/>
      <c r="D5" s="163">
        <f>COUNTIF(C10:C29,"Đang triển khai")</f>
        <v>0</v>
      </c>
      <c r="E5" s="164"/>
      <c r="F5" s="164"/>
      <c r="G5" s="167">
        <f>COUNTIF(C10:C29,"Hoàn thành")</f>
        <v>0</v>
      </c>
      <c r="H5" s="168"/>
      <c r="I5" s="168"/>
      <c r="J5" s="157">
        <f>COUNTIF(E34:E127,"&lt;&gt;")</f>
        <v>0</v>
      </c>
      <c r="K5" s="158"/>
      <c r="L5" s="170"/>
      <c r="M5" s="1"/>
      <c r="N5" s="1"/>
      <c r="O5" s="1"/>
      <c r="P5" s="1"/>
      <c r="Q5" s="1"/>
      <c r="R5" s="1"/>
      <c r="S5" s="1"/>
      <c r="T5" s="1"/>
      <c r="U5" s="1"/>
      <c r="V5" s="1"/>
      <c r="AA5" t="str">
        <v>Duy</v>
      </c>
      <c r="AB5" t="s">
        <v>203</v>
      </c>
      <c r="AC5" t="s">
        <v>204</v>
      </c>
      <c r="AD5" t="s">
        <v>205</v>
      </c>
      <c r="AG5" t="s">
        <v>206</v>
      </c>
    </row>
    <row r="6" spans="1:33" ht="24" customHeight="1">
      <c r="A6" s="159" t="s">
        <v>207</v>
      </c>
      <c r="B6" s="160"/>
      <c r="C6" s="160"/>
      <c r="D6" s="159" t="s">
        <v>208</v>
      </c>
      <c r="E6" s="160"/>
      <c r="F6" s="160"/>
      <c r="G6" s="159" t="s">
        <v>209</v>
      </c>
      <c r="H6" s="160"/>
      <c r="I6" s="160"/>
      <c r="J6" s="159" t="s">
        <v>210</v>
      </c>
      <c r="K6" s="160"/>
      <c r="L6" s="171"/>
      <c r="M6" s="1"/>
      <c r="N6" s="1"/>
      <c r="O6" s="1"/>
      <c r="P6" s="1"/>
      <c r="Q6" s="1"/>
      <c r="R6" s="1"/>
      <c r="S6" s="1"/>
      <c r="T6" s="1"/>
      <c r="U6" s="1"/>
      <c r="V6" s="1"/>
      <c r="AA6" t="str">
        <v>Sang</v>
      </c>
      <c r="AD6" t="s">
        <v>211</v>
      </c>
      <c r="AG6" t="s">
        <v>212</v>
      </c>
    </row>
    <row r="7" spans="1:33" ht="21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AA7" t="str">
        <v>Bảo</v>
      </c>
    </row>
    <row r="8" spans="1:33" ht="26.25" customHeight="1">
      <c r="A8" s="172" t="s">
        <v>213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"/>
      <c r="N8" s="1"/>
      <c r="O8" s="1"/>
      <c r="P8" s="1"/>
      <c r="Q8" s="1"/>
      <c r="R8" s="1"/>
      <c r="S8" s="1"/>
      <c r="T8" s="1"/>
      <c r="U8" s="1"/>
      <c r="V8" s="1"/>
      <c r="AA8" t="str">
        <v>Thông</v>
      </c>
    </row>
    <row r="9" spans="1:33" ht="33.75" customHeight="1">
      <c r="A9" s="17" t="s">
        <v>214</v>
      </c>
      <c r="B9" s="17" t="s">
        <v>215</v>
      </c>
      <c r="C9" s="17" t="s">
        <v>216</v>
      </c>
      <c r="D9" s="17" t="s">
        <v>179</v>
      </c>
      <c r="E9" s="17" t="s">
        <v>217</v>
      </c>
      <c r="F9" s="17" t="s">
        <v>218</v>
      </c>
      <c r="G9" s="17" t="s">
        <v>219</v>
      </c>
      <c r="H9" s="17" t="s">
        <v>220</v>
      </c>
      <c r="I9" s="17" t="s">
        <v>221</v>
      </c>
      <c r="J9" s="17" t="s">
        <v>222</v>
      </c>
      <c r="K9" s="17" t="s">
        <v>223</v>
      </c>
      <c r="L9" s="17" t="s">
        <v>224</v>
      </c>
      <c r="M9" s="29" t="s">
        <v>2</v>
      </c>
      <c r="N9" s="29" t="s">
        <v>3</v>
      </c>
      <c r="O9" s="29" t="s">
        <v>4</v>
      </c>
      <c r="P9" s="29" t="s">
        <v>6</v>
      </c>
      <c r="Q9" s="29" t="s">
        <v>7</v>
      </c>
      <c r="R9" s="29" t="s">
        <v>225</v>
      </c>
      <c r="S9" s="29" t="s">
        <v>8</v>
      </c>
      <c r="T9" s="29" t="s">
        <v>9</v>
      </c>
      <c r="U9" s="29" t="s">
        <v>226</v>
      </c>
      <c r="V9" s="29" t="s">
        <v>227</v>
      </c>
      <c r="W9" s="29" t="s">
        <v>180</v>
      </c>
      <c r="X9" s="29" t="s">
        <v>181</v>
      </c>
      <c r="Y9" s="29" t="s">
        <v>182</v>
      </c>
      <c r="Z9" s="29" t="s">
        <v>228</v>
      </c>
      <c r="AA9" t="str">
        <v>Khánh</v>
      </c>
    </row>
    <row r="10" spans="1:33" ht="21.75" customHeight="1">
      <c r="A10" s="12" t="s">
        <v>229</v>
      </c>
      <c r="B10" s="12" t="s">
        <v>229</v>
      </c>
      <c r="C10" s="12"/>
      <c r="D10" s="12" t="s">
        <v>186</v>
      </c>
      <c r="E10" s="18"/>
      <c r="F10" s="18"/>
      <c r="G10" s="12"/>
      <c r="H10" s="6" t="s">
        <v>229</v>
      </c>
      <c r="I10" s="6"/>
      <c r="J10" s="19">
        <f t="shared" ref="J10:J29" si="0">IF(A10="","",COUNTIF($B$34:$B$127,A10))</f>
        <v>0</v>
      </c>
      <c r="K10" s="20">
        <f t="shared" ref="K10:K29" si="1">IF(A10="","",IFERROR(COUNTIFS($B$34:$B$127,A10,$H$34:$H$127,"Hoàn thành")/COUNTIF($B$34:$B$127,A10),0))</f>
        <v>0</v>
      </c>
      <c r="L10" s="12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8"/>
      <c r="AA10" t="str">
        <v>NV.A</v>
      </c>
    </row>
    <row r="11" spans="1:33" ht="21.75" customHeight="1">
      <c r="A11" s="15"/>
      <c r="B11" s="15"/>
      <c r="C11" s="15"/>
      <c r="D11" s="15"/>
      <c r="E11" s="22"/>
      <c r="F11" s="22"/>
      <c r="G11" s="15"/>
      <c r="H11" s="7" t="str" cm="1">
        <f t="array" ref="H11">IF(A11="","",_xlfn.TEXTJOIN(", ",TRUE,IF(M11:T11="Có",M$9:T$9,"")))</f>
        <v/>
      </c>
      <c r="I11" s="7"/>
      <c r="J11" s="21" t="str">
        <f t="shared" si="0"/>
        <v/>
      </c>
      <c r="K11" s="30" t="str">
        <f t="shared" si="1"/>
        <v/>
      </c>
      <c r="L11" s="15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2"/>
    </row>
    <row r="12" spans="1:33" ht="21.75" customHeight="1">
      <c r="A12" s="12"/>
      <c r="B12" s="12"/>
      <c r="C12" s="12"/>
      <c r="D12" s="12"/>
      <c r="E12" s="18"/>
      <c r="F12" s="18"/>
      <c r="G12" s="12"/>
      <c r="H12" s="6" t="str" cm="1">
        <f t="array" ref="H12">IF(A12="","",_xlfn.TEXTJOIN(", ",TRUE,IF(M12:T12="Có",M$9:T$9,"")))</f>
        <v/>
      </c>
      <c r="I12" s="6"/>
      <c r="J12" s="19" t="str">
        <f t="shared" si="0"/>
        <v/>
      </c>
      <c r="K12" s="20" t="str">
        <f t="shared" si="1"/>
        <v/>
      </c>
      <c r="L12" s="1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8"/>
    </row>
    <row r="13" spans="1:33" ht="21.75" customHeight="1">
      <c r="A13" s="15"/>
      <c r="B13" s="15"/>
      <c r="C13" s="15"/>
      <c r="D13" s="15"/>
      <c r="E13" s="22"/>
      <c r="F13" s="22"/>
      <c r="G13" s="15"/>
      <c r="H13" s="7" t="str" cm="1">
        <f t="array" ref="H13">IF(A13="","",_xlfn.TEXTJOIN(", ",TRUE,IF(M13:T13="Có",M$9:T$9,"")))</f>
        <v/>
      </c>
      <c r="I13" s="7"/>
      <c r="J13" s="21" t="str">
        <f t="shared" si="0"/>
        <v/>
      </c>
      <c r="K13" s="30" t="str">
        <f t="shared" si="1"/>
        <v/>
      </c>
      <c r="L13" s="15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2"/>
    </row>
    <row r="14" spans="1:33" ht="21.75" customHeight="1">
      <c r="A14" s="12"/>
      <c r="B14" s="12"/>
      <c r="C14" s="12"/>
      <c r="D14" s="12"/>
      <c r="E14" s="18"/>
      <c r="F14" s="18"/>
      <c r="G14" s="12"/>
      <c r="H14" s="6" t="str" cm="1">
        <f t="array" ref="H14">IF(A14="","",_xlfn.TEXTJOIN(", ",TRUE,IF(M14:T14="Có",M$9:T$9,"")))</f>
        <v/>
      </c>
      <c r="I14" s="6"/>
      <c r="J14" s="19" t="str">
        <f t="shared" si="0"/>
        <v/>
      </c>
      <c r="K14" s="20" t="str">
        <f t="shared" si="1"/>
        <v/>
      </c>
      <c r="L14" s="12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8"/>
    </row>
    <row r="15" spans="1:33" ht="21.75" customHeight="1">
      <c r="A15" s="15"/>
      <c r="B15" s="15"/>
      <c r="C15" s="15"/>
      <c r="D15" s="15"/>
      <c r="E15" s="22"/>
      <c r="F15" s="22"/>
      <c r="G15" s="15"/>
      <c r="H15" s="7" t="str" cm="1">
        <f t="array" ref="H15">IF(A15="","",_xlfn.TEXTJOIN(", ",TRUE,IF(M15:T15="Có",M$9:T$9,"")))</f>
        <v/>
      </c>
      <c r="I15" s="7"/>
      <c r="J15" s="21" t="str">
        <f t="shared" si="0"/>
        <v/>
      </c>
      <c r="K15" s="30" t="str">
        <f t="shared" si="1"/>
        <v/>
      </c>
      <c r="L15" s="15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3" ht="21.75" customHeight="1">
      <c r="A16" s="12"/>
      <c r="B16" s="12"/>
      <c r="C16" s="12"/>
      <c r="D16" s="12"/>
      <c r="E16" s="18"/>
      <c r="F16" s="18"/>
      <c r="G16" s="12"/>
      <c r="H16" s="6" t="str" cm="1">
        <f t="array" ref="H16">IF(A16="","",_xlfn.TEXTJOIN(", ",TRUE,IF(M16:T16="Có",M$9:T$9,"")))</f>
        <v/>
      </c>
      <c r="I16" s="6"/>
      <c r="J16" s="19" t="str">
        <f t="shared" si="0"/>
        <v/>
      </c>
      <c r="K16" s="20" t="str">
        <f t="shared" si="1"/>
        <v/>
      </c>
      <c r="L16" s="1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8"/>
    </row>
    <row r="17" spans="1:26" ht="21.75" customHeight="1">
      <c r="A17" s="15"/>
      <c r="B17" s="15"/>
      <c r="C17" s="15"/>
      <c r="D17" s="15"/>
      <c r="E17" s="22"/>
      <c r="F17" s="22"/>
      <c r="G17" s="15"/>
      <c r="H17" s="7" t="str" cm="1">
        <f t="array" ref="H17">IF(A17="","",_xlfn.TEXTJOIN(", ",TRUE,IF(M17:T17="Có",M$9:T$9,"")))</f>
        <v/>
      </c>
      <c r="I17" s="7"/>
      <c r="J17" s="21" t="str">
        <f t="shared" si="0"/>
        <v/>
      </c>
      <c r="K17" s="30" t="str">
        <f t="shared" si="1"/>
        <v/>
      </c>
      <c r="L17" s="15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2"/>
    </row>
    <row r="18" spans="1:26" ht="21.75" customHeight="1">
      <c r="A18" s="12"/>
      <c r="B18" s="12"/>
      <c r="C18" s="12"/>
      <c r="D18" s="12"/>
      <c r="E18" s="18"/>
      <c r="F18" s="18"/>
      <c r="G18" s="12"/>
      <c r="H18" s="6" t="str" cm="1">
        <f t="array" ref="H18">IF(A18="","",_xlfn.TEXTJOIN(", ",TRUE,IF(M18:T18="Có",M$9:T$9,"")))</f>
        <v/>
      </c>
      <c r="I18" s="6"/>
      <c r="J18" s="19" t="str">
        <f t="shared" si="0"/>
        <v/>
      </c>
      <c r="K18" s="20" t="str">
        <f t="shared" si="1"/>
        <v/>
      </c>
      <c r="L18" s="1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8"/>
    </row>
    <row r="19" spans="1:26" ht="21.75" customHeight="1">
      <c r="A19" s="15"/>
      <c r="B19" s="15"/>
      <c r="C19" s="15"/>
      <c r="D19" s="15"/>
      <c r="E19" s="22"/>
      <c r="F19" s="22"/>
      <c r="G19" s="15"/>
      <c r="H19" s="7" t="str" cm="1">
        <f t="array" ref="H19">IF(A19="","",_xlfn.TEXTJOIN(", ",TRUE,IF(M19:T19="Có",M$9:T$9,"")))</f>
        <v/>
      </c>
      <c r="I19" s="7"/>
      <c r="J19" s="21" t="str">
        <f t="shared" si="0"/>
        <v/>
      </c>
      <c r="K19" s="30" t="str">
        <f t="shared" si="1"/>
        <v/>
      </c>
      <c r="L19" s="15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2"/>
    </row>
    <row r="20" spans="1:26" ht="21.75" customHeight="1">
      <c r="A20" s="12"/>
      <c r="B20" s="12"/>
      <c r="C20" s="12"/>
      <c r="D20" s="12"/>
      <c r="E20" s="18"/>
      <c r="F20" s="18"/>
      <c r="G20" s="12"/>
      <c r="H20" s="6" t="str" cm="1">
        <f t="array" ref="H20">IF(A20="","",_xlfn.TEXTJOIN(", ",TRUE,IF(M20:T20="Có",M$9:T$9,"")))</f>
        <v/>
      </c>
      <c r="I20" s="6"/>
      <c r="J20" s="19" t="str">
        <f t="shared" si="0"/>
        <v/>
      </c>
      <c r="K20" s="20" t="str">
        <f t="shared" si="1"/>
        <v/>
      </c>
      <c r="L20" s="1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8"/>
    </row>
    <row r="21" spans="1:26" ht="21.75" customHeight="1">
      <c r="A21" s="15"/>
      <c r="B21" s="15"/>
      <c r="C21" s="15"/>
      <c r="D21" s="15"/>
      <c r="E21" s="22"/>
      <c r="F21" s="22"/>
      <c r="G21" s="15"/>
      <c r="H21" s="7" t="str" cm="1">
        <f t="array" ref="H21">IF(A21="","",_xlfn.TEXTJOIN(", ",TRUE,IF(M21:T21="Có",M$9:T$9,"")))</f>
        <v/>
      </c>
      <c r="I21" s="7"/>
      <c r="J21" s="21" t="str">
        <f t="shared" si="0"/>
        <v/>
      </c>
      <c r="K21" s="30" t="str">
        <f t="shared" si="1"/>
        <v/>
      </c>
      <c r="L21" s="15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2"/>
    </row>
    <row r="22" spans="1:26" ht="21.75" customHeight="1">
      <c r="A22" s="12"/>
      <c r="B22" s="12"/>
      <c r="C22" s="12"/>
      <c r="D22" s="12"/>
      <c r="E22" s="18"/>
      <c r="F22" s="18"/>
      <c r="G22" s="12"/>
      <c r="H22" s="6" t="str" cm="1">
        <f t="array" ref="H22">IF(A22="","",_xlfn.TEXTJOIN(", ",TRUE,IF(M22:T22="Có",M$9:T$9,"")))</f>
        <v/>
      </c>
      <c r="I22" s="6"/>
      <c r="J22" s="19" t="str">
        <f t="shared" si="0"/>
        <v/>
      </c>
      <c r="K22" s="20" t="str">
        <f t="shared" si="1"/>
        <v/>
      </c>
      <c r="L22" s="1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8"/>
    </row>
    <row r="23" spans="1:26" ht="21.75" customHeight="1">
      <c r="A23" s="15"/>
      <c r="B23" s="15"/>
      <c r="C23" s="15"/>
      <c r="D23" s="15"/>
      <c r="E23" s="22"/>
      <c r="F23" s="22"/>
      <c r="G23" s="15"/>
      <c r="H23" s="7" t="str" cm="1">
        <f t="array" ref="H23">IF(A23="","",_xlfn.TEXTJOIN(", ",TRUE,IF(M23:T23="Có",M$9:T$9,"")))</f>
        <v/>
      </c>
      <c r="I23" s="7"/>
      <c r="J23" s="21" t="str">
        <f t="shared" si="0"/>
        <v/>
      </c>
      <c r="K23" s="30" t="str">
        <f t="shared" si="1"/>
        <v/>
      </c>
      <c r="L23" s="15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2"/>
    </row>
    <row r="24" spans="1:26" ht="21.75" customHeight="1">
      <c r="A24" s="12"/>
      <c r="B24" s="12"/>
      <c r="C24" s="12"/>
      <c r="D24" s="12"/>
      <c r="E24" s="18"/>
      <c r="F24" s="18"/>
      <c r="G24" s="12"/>
      <c r="H24" s="6" t="str" cm="1">
        <f t="array" ref="H24">IF(A24="","",_xlfn.TEXTJOIN(", ",TRUE,IF(M24:T24="Có",M$9:T$9,"")))</f>
        <v/>
      </c>
      <c r="I24" s="6"/>
      <c r="J24" s="19" t="str">
        <f t="shared" si="0"/>
        <v/>
      </c>
      <c r="K24" s="20" t="str">
        <f t="shared" si="1"/>
        <v/>
      </c>
      <c r="L24" s="12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8"/>
    </row>
    <row r="25" spans="1:26" ht="21.75" customHeight="1">
      <c r="A25" s="15"/>
      <c r="B25" s="15"/>
      <c r="C25" s="15"/>
      <c r="D25" s="15"/>
      <c r="E25" s="22"/>
      <c r="F25" s="22"/>
      <c r="G25" s="15"/>
      <c r="H25" s="7" t="str" cm="1">
        <f t="array" ref="H25">IF(A25="","",_xlfn.TEXTJOIN(", ",TRUE,IF(M25:T25="Có",M$9:T$9,"")))</f>
        <v/>
      </c>
      <c r="I25" s="7"/>
      <c r="J25" s="21" t="str">
        <f t="shared" si="0"/>
        <v/>
      </c>
      <c r="K25" s="30" t="str">
        <f t="shared" si="1"/>
        <v/>
      </c>
      <c r="L25" s="15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2"/>
    </row>
    <row r="26" spans="1:26" ht="21.75" customHeight="1">
      <c r="A26" s="12"/>
      <c r="B26" s="12"/>
      <c r="C26" s="12"/>
      <c r="D26" s="12"/>
      <c r="E26" s="18"/>
      <c r="F26" s="18"/>
      <c r="G26" s="12"/>
      <c r="H26" s="6" t="str" cm="1">
        <f t="array" ref="H26">IF(A26="","",_xlfn.TEXTJOIN(", ",TRUE,IF(M26:T26="Có",M$9:T$9,"")))</f>
        <v/>
      </c>
      <c r="I26" s="6"/>
      <c r="J26" s="19" t="str">
        <f t="shared" si="0"/>
        <v/>
      </c>
      <c r="K26" s="20" t="str">
        <f t="shared" si="1"/>
        <v/>
      </c>
      <c r="L26" s="12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8"/>
    </row>
    <row r="27" spans="1:26" ht="21.75" customHeight="1">
      <c r="A27" s="15"/>
      <c r="B27" s="15"/>
      <c r="C27" s="15"/>
      <c r="D27" s="15"/>
      <c r="E27" s="22"/>
      <c r="F27" s="22"/>
      <c r="G27" s="15"/>
      <c r="H27" s="7" t="str" cm="1">
        <f t="array" ref="H27">IF(A27="","",_xlfn.TEXTJOIN(", ",TRUE,IF(M27:T27="Có",M$9:T$9,"")))</f>
        <v/>
      </c>
      <c r="I27" s="7"/>
      <c r="J27" s="21" t="str">
        <f t="shared" si="0"/>
        <v/>
      </c>
      <c r="K27" s="30" t="str">
        <f t="shared" si="1"/>
        <v/>
      </c>
      <c r="L27" s="15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2"/>
    </row>
    <row r="28" spans="1:26" ht="21.75" customHeight="1">
      <c r="A28" s="12"/>
      <c r="B28" s="12"/>
      <c r="C28" s="12"/>
      <c r="D28" s="12"/>
      <c r="E28" s="18"/>
      <c r="F28" s="18"/>
      <c r="G28" s="12"/>
      <c r="H28" s="6" t="str" cm="1">
        <f t="array" ref="H28">IF(A28="","",_xlfn.TEXTJOIN(", ",TRUE,IF(M28:T28="Có",M$9:T$9,"")))</f>
        <v/>
      </c>
      <c r="I28" s="6"/>
      <c r="J28" s="19" t="str">
        <f t="shared" si="0"/>
        <v/>
      </c>
      <c r="K28" s="20" t="str">
        <f t="shared" si="1"/>
        <v/>
      </c>
      <c r="L28" s="12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8"/>
    </row>
    <row r="29" spans="1:26" ht="21.75" customHeight="1">
      <c r="A29" s="15"/>
      <c r="B29" s="15"/>
      <c r="C29" s="15"/>
      <c r="D29" s="15"/>
      <c r="E29" s="22"/>
      <c r="F29" s="22"/>
      <c r="G29" s="15"/>
      <c r="H29" s="7" t="str" cm="1">
        <f t="array" ref="H29">IF(A29="","",_xlfn.TEXTJOIN(", ",TRUE,IF(M29:T29="Có",M$9:T$9,"")))</f>
        <v/>
      </c>
      <c r="I29" s="7"/>
      <c r="J29" s="21" t="str">
        <f t="shared" si="0"/>
        <v/>
      </c>
      <c r="K29" s="30" t="str">
        <f t="shared" si="1"/>
        <v/>
      </c>
      <c r="L29" s="15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2"/>
    </row>
    <row r="30" spans="1:26" ht="24" customHeight="1">
      <c r="A30" s="182" t="s">
        <v>230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"/>
      <c r="V30" s="1"/>
    </row>
    <row r="31" spans="1:26" ht="21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6" ht="26.25" customHeight="1">
      <c r="A32" s="173" t="s">
        <v>231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33.75" customHeight="1">
      <c r="A33" s="17" t="s">
        <v>232</v>
      </c>
      <c r="B33" s="17" t="s">
        <v>214</v>
      </c>
      <c r="C33" s="17" t="s">
        <v>0</v>
      </c>
      <c r="D33" s="17" t="s">
        <v>233</v>
      </c>
      <c r="E33" s="17" t="s">
        <v>234</v>
      </c>
      <c r="F33" s="17" t="s">
        <v>235</v>
      </c>
      <c r="G33" s="17" t="s">
        <v>236</v>
      </c>
      <c r="H33" s="17" t="s">
        <v>216</v>
      </c>
      <c r="I33" s="17" t="s">
        <v>217</v>
      </c>
      <c r="J33" s="17" t="s">
        <v>237</v>
      </c>
      <c r="K33" s="17" t="s">
        <v>238</v>
      </c>
      <c r="L33" s="17" t="s">
        <v>224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.75" customHeight="1">
      <c r="A34" s="19" t="s">
        <v>239</v>
      </c>
      <c r="B34" s="19"/>
      <c r="C34" s="19" t="s">
        <v>14</v>
      </c>
      <c r="D34" s="12" t="s">
        <v>15</v>
      </c>
      <c r="E34" s="19"/>
      <c r="F34" s="6"/>
      <c r="G34" s="6"/>
      <c r="H34" s="19" t="s">
        <v>185</v>
      </c>
      <c r="I34" s="18"/>
      <c r="J34" s="18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.75" customHeight="1">
      <c r="A35" s="21" t="s">
        <v>240</v>
      </c>
      <c r="B35" s="21"/>
      <c r="C35" s="21" t="s">
        <v>14</v>
      </c>
      <c r="D35" s="15" t="s">
        <v>17</v>
      </c>
      <c r="E35" s="21"/>
      <c r="F35" s="7"/>
      <c r="G35" s="7"/>
      <c r="H35" s="21" t="s">
        <v>185</v>
      </c>
      <c r="I35" s="22"/>
      <c r="J35" s="22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.75" customHeight="1">
      <c r="A36" s="19" t="s">
        <v>241</v>
      </c>
      <c r="B36" s="19"/>
      <c r="C36" s="19" t="s">
        <v>14</v>
      </c>
      <c r="D36" s="12" t="s">
        <v>18</v>
      </c>
      <c r="E36" s="19"/>
      <c r="F36" s="6"/>
      <c r="G36" s="6"/>
      <c r="H36" s="19" t="s">
        <v>185</v>
      </c>
      <c r="I36" s="18"/>
      <c r="J36" s="18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.75" customHeight="1">
      <c r="A37" s="21" t="s">
        <v>242</v>
      </c>
      <c r="B37" s="21"/>
      <c r="C37" s="21" t="s">
        <v>14</v>
      </c>
      <c r="D37" s="15" t="s">
        <v>21</v>
      </c>
      <c r="E37" s="21"/>
      <c r="F37" s="7"/>
      <c r="G37" s="7"/>
      <c r="H37" s="21" t="s">
        <v>185</v>
      </c>
      <c r="I37" s="22"/>
      <c r="J37" s="22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.75" customHeight="1">
      <c r="A38" s="19" t="s">
        <v>243</v>
      </c>
      <c r="B38" s="19"/>
      <c r="C38" s="19" t="s">
        <v>14</v>
      </c>
      <c r="D38" s="12" t="s">
        <v>22</v>
      </c>
      <c r="E38" s="19"/>
      <c r="F38" s="6"/>
      <c r="G38" s="6"/>
      <c r="H38" s="19" t="s">
        <v>185</v>
      </c>
      <c r="I38" s="18"/>
      <c r="J38" s="18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.75" customHeight="1">
      <c r="A39" s="21" t="s">
        <v>244</v>
      </c>
      <c r="B39" s="21"/>
      <c r="C39" s="21" t="s">
        <v>14</v>
      </c>
      <c r="D39" s="15" t="s">
        <v>23</v>
      </c>
      <c r="E39" s="21"/>
      <c r="F39" s="7"/>
      <c r="G39" s="7"/>
      <c r="H39" s="21" t="s">
        <v>185</v>
      </c>
      <c r="I39" s="22"/>
      <c r="J39" s="22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.75" customHeight="1">
      <c r="A40" s="19" t="s">
        <v>245</v>
      </c>
      <c r="B40" s="19"/>
      <c r="C40" s="19" t="s">
        <v>14</v>
      </c>
      <c r="D40" s="12" t="s">
        <v>24</v>
      </c>
      <c r="E40" s="19"/>
      <c r="F40" s="6"/>
      <c r="G40" s="6"/>
      <c r="H40" s="19" t="s">
        <v>185</v>
      </c>
      <c r="I40" s="18"/>
      <c r="J40" s="18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.75" customHeight="1">
      <c r="A41" s="21" t="s">
        <v>246</v>
      </c>
      <c r="B41" s="21"/>
      <c r="C41" s="21" t="s">
        <v>14</v>
      </c>
      <c r="D41" s="15" t="s">
        <v>27</v>
      </c>
      <c r="E41" s="21"/>
      <c r="F41" s="7"/>
      <c r="G41" s="7"/>
      <c r="H41" s="21" t="s">
        <v>185</v>
      </c>
      <c r="I41" s="22"/>
      <c r="J41" s="22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.75" customHeight="1">
      <c r="A42" s="19" t="s">
        <v>247</v>
      </c>
      <c r="B42" s="19"/>
      <c r="C42" s="19" t="s">
        <v>14</v>
      </c>
      <c r="D42" s="12" t="s">
        <v>28</v>
      </c>
      <c r="E42" s="19"/>
      <c r="F42" s="6"/>
      <c r="G42" s="6"/>
      <c r="H42" s="19" t="s">
        <v>185</v>
      </c>
      <c r="I42" s="18"/>
      <c r="J42" s="18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.75" customHeight="1">
      <c r="A43" s="21" t="s">
        <v>248</v>
      </c>
      <c r="B43" s="21"/>
      <c r="C43" s="21" t="s">
        <v>14</v>
      </c>
      <c r="D43" s="15" t="s">
        <v>29</v>
      </c>
      <c r="E43" s="21"/>
      <c r="F43" s="7"/>
      <c r="G43" s="7"/>
      <c r="H43" s="21" t="s">
        <v>185</v>
      </c>
      <c r="I43" s="22"/>
      <c r="J43" s="22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.75" customHeight="1">
      <c r="A44" s="19" t="s">
        <v>249</v>
      </c>
      <c r="B44" s="19"/>
      <c r="C44" s="19" t="s">
        <v>134</v>
      </c>
      <c r="D44" s="12" t="s">
        <v>135</v>
      </c>
      <c r="E44" s="19"/>
      <c r="F44" s="6"/>
      <c r="G44" s="6"/>
      <c r="H44" s="19" t="s">
        <v>185</v>
      </c>
      <c r="I44" s="18"/>
      <c r="J44" s="18"/>
      <c r="K44" s="6"/>
      <c r="L44" s="6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.75" customHeight="1">
      <c r="A45" s="21" t="s">
        <v>250</v>
      </c>
      <c r="B45" s="21"/>
      <c r="C45" s="21" t="s">
        <v>134</v>
      </c>
      <c r="D45" s="15" t="s">
        <v>136</v>
      </c>
      <c r="E45" s="21"/>
      <c r="F45" s="7"/>
      <c r="G45" s="7"/>
      <c r="H45" s="21" t="s">
        <v>185</v>
      </c>
      <c r="I45" s="22"/>
      <c r="J45" s="22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.75" customHeight="1">
      <c r="A46" s="19" t="s">
        <v>251</v>
      </c>
      <c r="B46" s="19"/>
      <c r="C46" s="19" t="s">
        <v>134</v>
      </c>
      <c r="D46" s="12" t="s">
        <v>137</v>
      </c>
      <c r="E46" s="19"/>
      <c r="F46" s="6"/>
      <c r="G46" s="6"/>
      <c r="H46" s="19" t="s">
        <v>185</v>
      </c>
      <c r="I46" s="18"/>
      <c r="J46" s="18"/>
      <c r="K46" s="6"/>
      <c r="L46" s="6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.75" customHeight="1">
      <c r="A47" s="21" t="s">
        <v>252</v>
      </c>
      <c r="B47" s="21"/>
      <c r="C47" s="21" t="s">
        <v>134</v>
      </c>
      <c r="D47" s="15" t="s">
        <v>138</v>
      </c>
      <c r="E47" s="21"/>
      <c r="F47" s="7"/>
      <c r="G47" s="7"/>
      <c r="H47" s="21" t="s">
        <v>185</v>
      </c>
      <c r="I47" s="22"/>
      <c r="J47" s="22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.75" customHeight="1">
      <c r="A48" s="19" t="s">
        <v>253</v>
      </c>
      <c r="B48" s="19"/>
      <c r="C48" s="19" t="s">
        <v>30</v>
      </c>
      <c r="D48" s="12" t="s">
        <v>30</v>
      </c>
      <c r="E48" s="19"/>
      <c r="F48" s="6"/>
      <c r="G48" s="6"/>
      <c r="H48" s="19" t="s">
        <v>185</v>
      </c>
      <c r="I48" s="18"/>
      <c r="J48" s="18"/>
      <c r="K48" s="6"/>
      <c r="L48" s="6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.75" customHeight="1">
      <c r="A49" s="21" t="s">
        <v>254</v>
      </c>
      <c r="B49" s="21"/>
      <c r="C49" s="21" t="s">
        <v>30</v>
      </c>
      <c r="D49" s="15" t="s">
        <v>32</v>
      </c>
      <c r="E49" s="21"/>
      <c r="F49" s="7"/>
      <c r="G49" s="7"/>
      <c r="H49" s="21" t="s">
        <v>185</v>
      </c>
      <c r="I49" s="22"/>
      <c r="J49" s="22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.75" customHeight="1">
      <c r="A50" s="19" t="s">
        <v>255</v>
      </c>
      <c r="B50" s="19"/>
      <c r="C50" s="19" t="s">
        <v>30</v>
      </c>
      <c r="D50" s="12" t="s">
        <v>33</v>
      </c>
      <c r="E50" s="19"/>
      <c r="F50" s="6"/>
      <c r="G50" s="6"/>
      <c r="H50" s="19" t="s">
        <v>185</v>
      </c>
      <c r="I50" s="18"/>
      <c r="J50" s="18"/>
      <c r="K50" s="6"/>
      <c r="L50" s="6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.75" customHeight="1">
      <c r="A51" s="21" t="s">
        <v>256</v>
      </c>
      <c r="B51" s="21"/>
      <c r="C51" s="21" t="s">
        <v>30</v>
      </c>
      <c r="D51" s="15" t="s">
        <v>34</v>
      </c>
      <c r="E51" s="21"/>
      <c r="F51" s="7"/>
      <c r="G51" s="7"/>
      <c r="H51" s="21" t="s">
        <v>185</v>
      </c>
      <c r="I51" s="22"/>
      <c r="J51" s="22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.75" customHeight="1">
      <c r="A52" s="19" t="s">
        <v>257</v>
      </c>
      <c r="B52" s="19"/>
      <c r="C52" s="19" t="s">
        <v>30</v>
      </c>
      <c r="D52" s="12" t="s">
        <v>258</v>
      </c>
      <c r="E52" s="19"/>
      <c r="F52" s="6"/>
      <c r="G52" s="6"/>
      <c r="H52" s="19" t="s">
        <v>185</v>
      </c>
      <c r="I52" s="18"/>
      <c r="J52" s="18"/>
      <c r="K52" s="6"/>
      <c r="L52" s="6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.75" customHeight="1">
      <c r="A53" s="21" t="s">
        <v>259</v>
      </c>
      <c r="B53" s="21"/>
      <c r="C53" s="21" t="s">
        <v>30</v>
      </c>
      <c r="D53" s="15" t="s">
        <v>37</v>
      </c>
      <c r="E53" s="21"/>
      <c r="F53" s="7"/>
      <c r="G53" s="7"/>
      <c r="H53" s="21" t="s">
        <v>185</v>
      </c>
      <c r="I53" s="22"/>
      <c r="J53" s="22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.75" customHeight="1">
      <c r="A54" s="19" t="s">
        <v>260</v>
      </c>
      <c r="B54" s="19"/>
      <c r="C54" s="19" t="s">
        <v>30</v>
      </c>
      <c r="D54" s="12" t="s">
        <v>261</v>
      </c>
      <c r="E54" s="19"/>
      <c r="F54" s="6"/>
      <c r="G54" s="6"/>
      <c r="H54" s="19" t="s">
        <v>185</v>
      </c>
      <c r="I54" s="18"/>
      <c r="J54" s="18"/>
      <c r="K54" s="6"/>
      <c r="L54" s="6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.75" customHeight="1">
      <c r="A55" s="21" t="s">
        <v>262</v>
      </c>
      <c r="B55" s="21"/>
      <c r="C55" s="21" t="s">
        <v>40</v>
      </c>
      <c r="D55" s="15" t="s">
        <v>41</v>
      </c>
      <c r="E55" s="21"/>
      <c r="F55" s="7"/>
      <c r="G55" s="7"/>
      <c r="H55" s="21" t="s">
        <v>185</v>
      </c>
      <c r="I55" s="22"/>
      <c r="J55" s="22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.75" customHeight="1">
      <c r="A56" s="19" t="s">
        <v>263</v>
      </c>
      <c r="B56" s="19"/>
      <c r="C56" s="19" t="s">
        <v>40</v>
      </c>
      <c r="D56" s="12" t="s">
        <v>42</v>
      </c>
      <c r="E56" s="19"/>
      <c r="F56" s="6"/>
      <c r="G56" s="6"/>
      <c r="H56" s="19" t="s">
        <v>185</v>
      </c>
      <c r="I56" s="18"/>
      <c r="J56" s="18"/>
      <c r="K56" s="6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.75" customHeight="1">
      <c r="A57" s="21" t="s">
        <v>264</v>
      </c>
      <c r="B57" s="21"/>
      <c r="C57" s="21" t="s">
        <v>40</v>
      </c>
      <c r="D57" s="15" t="s">
        <v>265</v>
      </c>
      <c r="E57" s="21"/>
      <c r="F57" s="7"/>
      <c r="G57" s="7"/>
      <c r="H57" s="21" t="s">
        <v>185</v>
      </c>
      <c r="I57" s="22"/>
      <c r="J57" s="22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.75" customHeight="1">
      <c r="A58" s="19" t="s">
        <v>266</v>
      </c>
      <c r="B58" s="19"/>
      <c r="C58" s="19" t="s">
        <v>40</v>
      </c>
      <c r="D58" s="12" t="s">
        <v>44</v>
      </c>
      <c r="E58" s="19"/>
      <c r="F58" s="6"/>
      <c r="G58" s="6"/>
      <c r="H58" s="19" t="s">
        <v>185</v>
      </c>
      <c r="I58" s="18"/>
      <c r="J58" s="18"/>
      <c r="K58" s="6"/>
      <c r="L58" s="6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.75" customHeight="1">
      <c r="A59" s="21" t="s">
        <v>267</v>
      </c>
      <c r="B59" s="21"/>
      <c r="C59" s="21" t="s">
        <v>40</v>
      </c>
      <c r="D59" s="15" t="s">
        <v>45</v>
      </c>
      <c r="E59" s="21"/>
      <c r="F59" s="7"/>
      <c r="G59" s="7"/>
      <c r="H59" s="21" t="s">
        <v>185</v>
      </c>
      <c r="I59" s="22"/>
      <c r="J59" s="22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.75" customHeight="1">
      <c r="A60" s="19" t="s">
        <v>268</v>
      </c>
      <c r="B60" s="19"/>
      <c r="C60" s="19" t="s">
        <v>40</v>
      </c>
      <c r="D60" s="12" t="s">
        <v>50</v>
      </c>
      <c r="E60" s="19"/>
      <c r="F60" s="6"/>
      <c r="G60" s="6"/>
      <c r="H60" s="19" t="s">
        <v>185</v>
      </c>
      <c r="I60" s="18"/>
      <c r="J60" s="18"/>
      <c r="K60" s="6"/>
      <c r="L60" s="6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.75" customHeight="1">
      <c r="A61" s="21" t="s">
        <v>269</v>
      </c>
      <c r="B61" s="21"/>
      <c r="C61" s="21" t="s">
        <v>55</v>
      </c>
      <c r="D61" s="15" t="s">
        <v>56</v>
      </c>
      <c r="E61" s="21"/>
      <c r="F61" s="7"/>
      <c r="G61" s="7"/>
      <c r="H61" s="21" t="s">
        <v>185</v>
      </c>
      <c r="I61" s="22"/>
      <c r="J61" s="22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.75" customHeight="1">
      <c r="A62" s="19" t="s">
        <v>270</v>
      </c>
      <c r="B62" s="19"/>
      <c r="C62" s="19" t="s">
        <v>55</v>
      </c>
      <c r="D62" s="12" t="s">
        <v>57</v>
      </c>
      <c r="E62" s="19"/>
      <c r="F62" s="6"/>
      <c r="G62" s="6"/>
      <c r="H62" s="19" t="s">
        <v>185</v>
      </c>
      <c r="I62" s="18"/>
      <c r="J62" s="18"/>
      <c r="K62" s="6"/>
      <c r="L62" s="6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.75" customHeight="1">
      <c r="A63" s="21" t="s">
        <v>271</v>
      </c>
      <c r="B63" s="21"/>
      <c r="C63" s="21" t="s">
        <v>55</v>
      </c>
      <c r="D63" s="15" t="s">
        <v>58</v>
      </c>
      <c r="E63" s="21"/>
      <c r="F63" s="7"/>
      <c r="G63" s="7"/>
      <c r="H63" s="21" t="s">
        <v>185</v>
      </c>
      <c r="I63" s="22"/>
      <c r="J63" s="22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.75" customHeight="1">
      <c r="A64" s="19" t="s">
        <v>272</v>
      </c>
      <c r="B64" s="19"/>
      <c r="C64" s="19" t="s">
        <v>55</v>
      </c>
      <c r="D64" s="12" t="s">
        <v>63</v>
      </c>
      <c r="E64" s="19"/>
      <c r="F64" s="6"/>
      <c r="G64" s="6"/>
      <c r="H64" s="19" t="s">
        <v>185</v>
      </c>
      <c r="I64" s="18"/>
      <c r="J64" s="18"/>
      <c r="K64" s="6"/>
      <c r="L64" s="6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.75" customHeight="1">
      <c r="A65" s="21" t="s">
        <v>273</v>
      </c>
      <c r="B65" s="21"/>
      <c r="C65" s="21" t="s">
        <v>55</v>
      </c>
      <c r="D65" s="15" t="s">
        <v>64</v>
      </c>
      <c r="E65" s="21"/>
      <c r="F65" s="7"/>
      <c r="G65" s="7"/>
      <c r="H65" s="21" t="s">
        <v>185</v>
      </c>
      <c r="I65" s="22"/>
      <c r="J65" s="22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.75" customHeight="1">
      <c r="A66" s="19" t="s">
        <v>274</v>
      </c>
      <c r="B66" s="19"/>
      <c r="C66" s="19" t="s">
        <v>55</v>
      </c>
      <c r="D66" s="12" t="s">
        <v>65</v>
      </c>
      <c r="E66" s="19"/>
      <c r="F66" s="6"/>
      <c r="G66" s="6"/>
      <c r="H66" s="19" t="s">
        <v>185</v>
      </c>
      <c r="I66" s="18"/>
      <c r="J66" s="18"/>
      <c r="K66" s="6"/>
      <c r="L66" s="6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.75" customHeight="1">
      <c r="A67" s="21" t="s">
        <v>275</v>
      </c>
      <c r="B67" s="21"/>
      <c r="C67" s="21" t="s">
        <v>55</v>
      </c>
      <c r="D67" s="15" t="s">
        <v>276</v>
      </c>
      <c r="E67" s="21"/>
      <c r="F67" s="7"/>
      <c r="G67" s="7"/>
      <c r="H67" s="21" t="s">
        <v>185</v>
      </c>
      <c r="I67" s="22"/>
      <c r="J67" s="22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.75" customHeight="1">
      <c r="A68" s="19" t="s">
        <v>277</v>
      </c>
      <c r="B68" s="19"/>
      <c r="C68" s="19" t="s">
        <v>68</v>
      </c>
      <c r="D68" s="12" t="s">
        <v>69</v>
      </c>
      <c r="E68" s="19"/>
      <c r="F68" s="6"/>
      <c r="G68" s="6"/>
      <c r="H68" s="19" t="s">
        <v>185</v>
      </c>
      <c r="I68" s="18"/>
      <c r="J68" s="18"/>
      <c r="K68" s="6"/>
      <c r="L68" s="6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.75" customHeight="1">
      <c r="A69" s="21" t="s">
        <v>278</v>
      </c>
      <c r="B69" s="21"/>
      <c r="C69" s="21" t="s">
        <v>68</v>
      </c>
      <c r="D69" s="15" t="s">
        <v>70</v>
      </c>
      <c r="E69" s="21"/>
      <c r="F69" s="7"/>
      <c r="G69" s="7"/>
      <c r="H69" s="21" t="s">
        <v>185</v>
      </c>
      <c r="I69" s="22"/>
      <c r="J69" s="22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.75" customHeight="1">
      <c r="A70" s="19" t="s">
        <v>279</v>
      </c>
      <c r="B70" s="19"/>
      <c r="C70" s="19" t="s">
        <v>68</v>
      </c>
      <c r="D70" s="12" t="s">
        <v>72</v>
      </c>
      <c r="E70" s="19"/>
      <c r="F70" s="6"/>
      <c r="G70" s="6"/>
      <c r="H70" s="19" t="s">
        <v>185</v>
      </c>
      <c r="I70" s="18"/>
      <c r="J70" s="18"/>
      <c r="K70" s="6"/>
      <c r="L70" s="6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.75" customHeight="1">
      <c r="A71" s="21" t="s">
        <v>280</v>
      </c>
      <c r="B71" s="21"/>
      <c r="C71" s="21" t="s">
        <v>68</v>
      </c>
      <c r="D71" s="15" t="s">
        <v>73</v>
      </c>
      <c r="E71" s="21"/>
      <c r="F71" s="7"/>
      <c r="G71" s="7"/>
      <c r="H71" s="21" t="s">
        <v>185</v>
      </c>
      <c r="I71" s="22"/>
      <c r="J71" s="22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.75" customHeight="1">
      <c r="A72" s="19" t="s">
        <v>281</v>
      </c>
      <c r="B72" s="19"/>
      <c r="C72" s="19" t="s">
        <v>68</v>
      </c>
      <c r="D72" s="12" t="s">
        <v>74</v>
      </c>
      <c r="E72" s="19"/>
      <c r="F72" s="6"/>
      <c r="G72" s="6"/>
      <c r="H72" s="19" t="s">
        <v>185</v>
      </c>
      <c r="I72" s="18"/>
      <c r="J72" s="18"/>
      <c r="K72" s="6"/>
      <c r="L72" s="6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.75" customHeight="1">
      <c r="A73" s="21" t="s">
        <v>282</v>
      </c>
      <c r="B73" s="21"/>
      <c r="C73" s="21" t="s">
        <v>68</v>
      </c>
      <c r="D73" s="15" t="s">
        <v>75</v>
      </c>
      <c r="E73" s="21"/>
      <c r="F73" s="7"/>
      <c r="G73" s="7"/>
      <c r="H73" s="21" t="s">
        <v>185</v>
      </c>
      <c r="I73" s="22"/>
      <c r="J73" s="22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.75" customHeight="1">
      <c r="A74" s="19" t="s">
        <v>283</v>
      </c>
      <c r="B74" s="19"/>
      <c r="C74" s="19" t="s">
        <v>68</v>
      </c>
      <c r="D74" s="12" t="s">
        <v>76</v>
      </c>
      <c r="E74" s="19"/>
      <c r="F74" s="6"/>
      <c r="G74" s="6"/>
      <c r="H74" s="19" t="s">
        <v>185</v>
      </c>
      <c r="I74" s="18"/>
      <c r="J74" s="18"/>
      <c r="K74" s="6"/>
      <c r="L74" s="6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.75" customHeight="1">
      <c r="A75" s="21" t="s">
        <v>284</v>
      </c>
      <c r="B75" s="21"/>
      <c r="C75" s="21" t="s">
        <v>77</v>
      </c>
      <c r="D75" s="15" t="s">
        <v>78</v>
      </c>
      <c r="E75" s="21"/>
      <c r="F75" s="7"/>
      <c r="G75" s="7"/>
      <c r="H75" s="21" t="s">
        <v>185</v>
      </c>
      <c r="I75" s="22"/>
      <c r="J75" s="22"/>
      <c r="K75" s="7"/>
      <c r="L75" s="7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.75" customHeight="1">
      <c r="A76" s="19" t="s">
        <v>285</v>
      </c>
      <c r="B76" s="19"/>
      <c r="C76" s="19" t="s">
        <v>77</v>
      </c>
      <c r="D76" s="12" t="s">
        <v>79</v>
      </c>
      <c r="E76" s="19"/>
      <c r="F76" s="6"/>
      <c r="G76" s="6"/>
      <c r="H76" s="19" t="s">
        <v>185</v>
      </c>
      <c r="I76" s="18"/>
      <c r="J76" s="18"/>
      <c r="K76" s="6"/>
      <c r="L76" s="6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.75" customHeight="1">
      <c r="A77" s="21" t="s">
        <v>286</v>
      </c>
      <c r="B77" s="21"/>
      <c r="C77" s="21" t="s">
        <v>77</v>
      </c>
      <c r="D77" s="15" t="s">
        <v>80</v>
      </c>
      <c r="E77" s="21"/>
      <c r="F77" s="7"/>
      <c r="G77" s="7"/>
      <c r="H77" s="21" t="s">
        <v>185</v>
      </c>
      <c r="I77" s="22"/>
      <c r="J77" s="22"/>
      <c r="K77" s="7"/>
      <c r="L77" s="7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.75" customHeight="1">
      <c r="A78" s="19" t="s">
        <v>287</v>
      </c>
      <c r="B78" s="19"/>
      <c r="C78" s="19" t="s">
        <v>77</v>
      </c>
      <c r="D78" s="12" t="s">
        <v>288</v>
      </c>
      <c r="E78" s="19"/>
      <c r="F78" s="6"/>
      <c r="G78" s="6"/>
      <c r="H78" s="19" t="s">
        <v>185</v>
      </c>
      <c r="I78" s="18"/>
      <c r="J78" s="18"/>
      <c r="K78" s="6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.75" customHeight="1">
      <c r="A79" s="21" t="s">
        <v>289</v>
      </c>
      <c r="B79" s="21"/>
      <c r="C79" s="21" t="s">
        <v>77</v>
      </c>
      <c r="D79" s="15" t="s">
        <v>82</v>
      </c>
      <c r="E79" s="21"/>
      <c r="F79" s="7"/>
      <c r="G79" s="7"/>
      <c r="H79" s="21" t="s">
        <v>185</v>
      </c>
      <c r="I79" s="22"/>
      <c r="J79" s="22"/>
      <c r="K79" s="7"/>
      <c r="L79" s="7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.75" customHeight="1">
      <c r="A80" s="19" t="s">
        <v>290</v>
      </c>
      <c r="B80" s="19"/>
      <c r="C80" s="19" t="s">
        <v>77</v>
      </c>
      <c r="D80" s="12" t="s">
        <v>83</v>
      </c>
      <c r="E80" s="19"/>
      <c r="F80" s="6"/>
      <c r="G80" s="6"/>
      <c r="H80" s="19" t="s">
        <v>185</v>
      </c>
      <c r="I80" s="18"/>
      <c r="J80" s="18"/>
      <c r="K80" s="6"/>
      <c r="L80" s="6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.75" customHeight="1">
      <c r="A81" s="21" t="s">
        <v>291</v>
      </c>
      <c r="B81" s="21"/>
      <c r="C81" s="21" t="s">
        <v>93</v>
      </c>
      <c r="D81" s="15" t="s">
        <v>85</v>
      </c>
      <c r="E81" s="21"/>
      <c r="F81" s="7"/>
      <c r="G81" s="7"/>
      <c r="H81" s="21" t="s">
        <v>185</v>
      </c>
      <c r="I81" s="22"/>
      <c r="J81" s="22"/>
      <c r="K81" s="7"/>
      <c r="L81" s="7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.75" customHeight="1">
      <c r="A82" s="19" t="s">
        <v>292</v>
      </c>
      <c r="B82" s="19"/>
      <c r="C82" s="19" t="s">
        <v>93</v>
      </c>
      <c r="D82" s="12" t="s">
        <v>86</v>
      </c>
      <c r="E82" s="19"/>
      <c r="F82" s="6"/>
      <c r="G82" s="6"/>
      <c r="H82" s="19" t="s">
        <v>185</v>
      </c>
      <c r="I82" s="18"/>
      <c r="J82" s="18"/>
      <c r="K82" s="6"/>
      <c r="L82" s="6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.75" customHeight="1">
      <c r="A83" s="21" t="s">
        <v>293</v>
      </c>
      <c r="B83" s="21"/>
      <c r="C83" s="21" t="s">
        <v>93</v>
      </c>
      <c r="D83" s="15" t="s">
        <v>87</v>
      </c>
      <c r="E83" s="21"/>
      <c r="F83" s="7"/>
      <c r="G83" s="7"/>
      <c r="H83" s="21" t="s">
        <v>185</v>
      </c>
      <c r="I83" s="22"/>
      <c r="J83" s="22"/>
      <c r="K83" s="7"/>
      <c r="L83" s="7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.75" customHeight="1">
      <c r="A84" s="19" t="s">
        <v>294</v>
      </c>
      <c r="B84" s="19"/>
      <c r="C84" s="19" t="s">
        <v>93</v>
      </c>
      <c r="D84" s="12" t="s">
        <v>88</v>
      </c>
      <c r="E84" s="19"/>
      <c r="F84" s="6"/>
      <c r="G84" s="6"/>
      <c r="H84" s="19" t="s">
        <v>185</v>
      </c>
      <c r="I84" s="18"/>
      <c r="J84" s="18"/>
      <c r="K84" s="6"/>
      <c r="L84" s="6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.75" customHeight="1">
      <c r="A85" s="21" t="s">
        <v>295</v>
      </c>
      <c r="B85" s="21"/>
      <c r="C85" s="21" t="s">
        <v>93</v>
      </c>
      <c r="D85" s="15" t="s">
        <v>90</v>
      </c>
      <c r="E85" s="21"/>
      <c r="F85" s="7"/>
      <c r="G85" s="7"/>
      <c r="H85" s="21" t="s">
        <v>185</v>
      </c>
      <c r="I85" s="22"/>
      <c r="J85" s="22"/>
      <c r="K85" s="7"/>
      <c r="L85" s="7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.75" customHeight="1">
      <c r="A86" s="19" t="s">
        <v>296</v>
      </c>
      <c r="B86" s="19"/>
      <c r="C86" s="19" t="s">
        <v>93</v>
      </c>
      <c r="D86" s="12" t="s">
        <v>94</v>
      </c>
      <c r="E86" s="19"/>
      <c r="F86" s="6"/>
      <c r="G86" s="6"/>
      <c r="H86" s="19" t="s">
        <v>185</v>
      </c>
      <c r="I86" s="18"/>
      <c r="J86" s="18"/>
      <c r="K86" s="6"/>
      <c r="L86" s="6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.75" customHeight="1">
      <c r="A87" s="21" t="s">
        <v>297</v>
      </c>
      <c r="B87" s="21"/>
      <c r="C87" s="21" t="s">
        <v>93</v>
      </c>
      <c r="D87" s="15" t="s">
        <v>95</v>
      </c>
      <c r="E87" s="21"/>
      <c r="F87" s="7"/>
      <c r="G87" s="7"/>
      <c r="H87" s="21" t="s">
        <v>185</v>
      </c>
      <c r="I87" s="22"/>
      <c r="J87" s="22"/>
      <c r="K87" s="7"/>
      <c r="L87" s="7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.75" customHeight="1">
      <c r="A88" s="19" t="s">
        <v>298</v>
      </c>
      <c r="B88" s="19"/>
      <c r="C88" s="19" t="s">
        <v>93</v>
      </c>
      <c r="D88" s="12" t="s">
        <v>96</v>
      </c>
      <c r="E88" s="19"/>
      <c r="F88" s="6"/>
      <c r="G88" s="6"/>
      <c r="H88" s="19" t="s">
        <v>185</v>
      </c>
      <c r="I88" s="18"/>
      <c r="J88" s="18"/>
      <c r="K88" s="6"/>
      <c r="L88" s="6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.75" customHeight="1">
      <c r="A89" s="21" t="s">
        <v>299</v>
      </c>
      <c r="B89" s="21"/>
      <c r="C89" s="21" t="s">
        <v>93</v>
      </c>
      <c r="D89" s="15" t="s">
        <v>101</v>
      </c>
      <c r="E89" s="21"/>
      <c r="F89" s="7"/>
      <c r="G89" s="7"/>
      <c r="H89" s="21" t="s">
        <v>185</v>
      </c>
      <c r="I89" s="22"/>
      <c r="J89" s="22"/>
      <c r="K89" s="7"/>
      <c r="L89" s="7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.75" customHeight="1">
      <c r="A90" s="19" t="s">
        <v>300</v>
      </c>
      <c r="B90" s="19"/>
      <c r="C90" s="19" t="s">
        <v>93</v>
      </c>
      <c r="D90" s="12" t="s">
        <v>97</v>
      </c>
      <c r="E90" s="19"/>
      <c r="F90" s="6"/>
      <c r="G90" s="6"/>
      <c r="H90" s="19" t="s">
        <v>185</v>
      </c>
      <c r="I90" s="18"/>
      <c r="J90" s="18"/>
      <c r="K90" s="6"/>
      <c r="L90" s="6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.75" customHeight="1">
      <c r="A91" s="21" t="s">
        <v>301</v>
      </c>
      <c r="B91" s="21"/>
      <c r="C91" s="21" t="s">
        <v>93</v>
      </c>
      <c r="D91" s="15" t="s">
        <v>103</v>
      </c>
      <c r="E91" s="21"/>
      <c r="F91" s="7"/>
      <c r="G91" s="7"/>
      <c r="H91" s="21" t="s">
        <v>185</v>
      </c>
      <c r="I91" s="22"/>
      <c r="J91" s="22"/>
      <c r="K91" s="7"/>
      <c r="L91" s="7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.75" customHeight="1">
      <c r="A92" s="19" t="s">
        <v>302</v>
      </c>
      <c r="B92" s="19"/>
      <c r="C92" s="19" t="s">
        <v>104</v>
      </c>
      <c r="D92" s="12" t="s">
        <v>105</v>
      </c>
      <c r="E92" s="19"/>
      <c r="F92" s="6"/>
      <c r="G92" s="6"/>
      <c r="H92" s="19" t="s">
        <v>185</v>
      </c>
      <c r="I92" s="18"/>
      <c r="J92" s="18"/>
      <c r="K92" s="6"/>
      <c r="L92" s="6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.75" customHeight="1">
      <c r="A93" s="21" t="s">
        <v>303</v>
      </c>
      <c r="B93" s="21"/>
      <c r="C93" s="21" t="s">
        <v>104</v>
      </c>
      <c r="D93" s="15" t="s">
        <v>106</v>
      </c>
      <c r="E93" s="21"/>
      <c r="F93" s="7"/>
      <c r="G93" s="7"/>
      <c r="H93" s="21" t="s">
        <v>185</v>
      </c>
      <c r="I93" s="22"/>
      <c r="J93" s="22"/>
      <c r="K93" s="7"/>
      <c r="L93" s="7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.75" customHeight="1">
      <c r="A94" s="19" t="s">
        <v>304</v>
      </c>
      <c r="B94" s="19"/>
      <c r="C94" s="19" t="s">
        <v>104</v>
      </c>
      <c r="D94" s="12" t="s">
        <v>107</v>
      </c>
      <c r="E94" s="19"/>
      <c r="F94" s="6"/>
      <c r="G94" s="6"/>
      <c r="H94" s="19" t="s">
        <v>185</v>
      </c>
      <c r="I94" s="18"/>
      <c r="J94" s="18"/>
      <c r="K94" s="6"/>
      <c r="L94" s="6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.75" customHeight="1">
      <c r="A95" s="21" t="s">
        <v>305</v>
      </c>
      <c r="B95" s="21"/>
      <c r="C95" s="21" t="s">
        <v>104</v>
      </c>
      <c r="D95" s="15" t="s">
        <v>111</v>
      </c>
      <c r="E95" s="21"/>
      <c r="F95" s="7"/>
      <c r="G95" s="7"/>
      <c r="H95" s="21" t="s">
        <v>185</v>
      </c>
      <c r="I95" s="22"/>
      <c r="J95" s="22"/>
      <c r="K95" s="7"/>
      <c r="L95" s="7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.75" customHeight="1">
      <c r="A96" s="19" t="s">
        <v>306</v>
      </c>
      <c r="B96" s="19"/>
      <c r="C96" s="19" t="s">
        <v>104</v>
      </c>
      <c r="D96" s="12" t="s">
        <v>112</v>
      </c>
      <c r="E96" s="19"/>
      <c r="F96" s="6"/>
      <c r="G96" s="6"/>
      <c r="H96" s="19" t="s">
        <v>185</v>
      </c>
      <c r="I96" s="18"/>
      <c r="J96" s="18"/>
      <c r="K96" s="6"/>
      <c r="L96" s="6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.75" customHeight="1">
      <c r="A97" s="21" t="s">
        <v>307</v>
      </c>
      <c r="B97" s="21"/>
      <c r="C97" s="21" t="s">
        <v>104</v>
      </c>
      <c r="D97" s="15" t="s">
        <v>113</v>
      </c>
      <c r="E97" s="21"/>
      <c r="F97" s="7"/>
      <c r="G97" s="7"/>
      <c r="H97" s="21" t="s">
        <v>185</v>
      </c>
      <c r="I97" s="22"/>
      <c r="J97" s="22"/>
      <c r="K97" s="7"/>
      <c r="L97" s="7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.75" customHeight="1">
      <c r="A98" s="19" t="s">
        <v>308</v>
      </c>
      <c r="B98" s="19"/>
      <c r="C98" s="19" t="s">
        <v>104</v>
      </c>
      <c r="D98" s="12" t="s">
        <v>114</v>
      </c>
      <c r="E98" s="19"/>
      <c r="F98" s="6"/>
      <c r="G98" s="6"/>
      <c r="H98" s="19" t="s">
        <v>185</v>
      </c>
      <c r="I98" s="18"/>
      <c r="J98" s="18"/>
      <c r="K98" s="6"/>
      <c r="L98" s="6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.75" customHeight="1">
      <c r="A99" s="21" t="s">
        <v>309</v>
      </c>
      <c r="B99" s="21"/>
      <c r="C99" s="21" t="s">
        <v>104</v>
      </c>
      <c r="D99" s="15" t="s">
        <v>115</v>
      </c>
      <c r="E99" s="21"/>
      <c r="F99" s="7"/>
      <c r="G99" s="7"/>
      <c r="H99" s="21" t="s">
        <v>185</v>
      </c>
      <c r="I99" s="22"/>
      <c r="J99" s="22"/>
      <c r="K99" s="7"/>
      <c r="L99" s="7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.75" customHeight="1">
      <c r="A100" s="19" t="s">
        <v>310</v>
      </c>
      <c r="B100" s="19"/>
      <c r="C100" s="19" t="s">
        <v>311</v>
      </c>
      <c r="D100" s="12" t="s">
        <v>117</v>
      </c>
      <c r="E100" s="19"/>
      <c r="F100" s="6"/>
      <c r="G100" s="6"/>
      <c r="H100" s="19" t="s">
        <v>185</v>
      </c>
      <c r="I100" s="18"/>
      <c r="J100" s="18"/>
      <c r="K100" s="6"/>
      <c r="L100" s="6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1.75" customHeight="1">
      <c r="A101" s="21" t="s">
        <v>312</v>
      </c>
      <c r="B101" s="21"/>
      <c r="C101" s="21" t="s">
        <v>311</v>
      </c>
      <c r="D101" s="15" t="s">
        <v>118</v>
      </c>
      <c r="E101" s="21"/>
      <c r="F101" s="7"/>
      <c r="G101" s="7"/>
      <c r="H101" s="21" t="s">
        <v>185</v>
      </c>
      <c r="I101" s="22"/>
      <c r="J101" s="22"/>
      <c r="K101" s="7"/>
      <c r="L101" s="7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1.75" customHeight="1">
      <c r="A102" s="19" t="s">
        <v>313</v>
      </c>
      <c r="B102" s="19"/>
      <c r="C102" s="19" t="s">
        <v>311</v>
      </c>
      <c r="D102" s="12" t="s">
        <v>119</v>
      </c>
      <c r="E102" s="19"/>
      <c r="F102" s="6"/>
      <c r="G102" s="6"/>
      <c r="H102" s="19" t="s">
        <v>185</v>
      </c>
      <c r="I102" s="18"/>
      <c r="J102" s="18"/>
      <c r="K102" s="6"/>
      <c r="L102" s="6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1.75" customHeight="1">
      <c r="A103" s="21" t="s">
        <v>314</v>
      </c>
      <c r="B103" s="21"/>
      <c r="C103" s="21" t="s">
        <v>311</v>
      </c>
      <c r="D103" s="15" t="s">
        <v>120</v>
      </c>
      <c r="E103" s="21"/>
      <c r="F103" s="7"/>
      <c r="G103" s="7"/>
      <c r="H103" s="21" t="s">
        <v>185</v>
      </c>
      <c r="I103" s="22"/>
      <c r="J103" s="22"/>
      <c r="K103" s="7"/>
      <c r="L103" s="7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1.75" customHeight="1">
      <c r="A104" s="19" t="s">
        <v>315</v>
      </c>
      <c r="B104" s="19"/>
      <c r="C104" s="19" t="s">
        <v>316</v>
      </c>
      <c r="D104" s="12" t="s">
        <v>317</v>
      </c>
      <c r="E104" s="19"/>
      <c r="F104" s="6"/>
      <c r="G104" s="6"/>
      <c r="H104" s="19" t="s">
        <v>185</v>
      </c>
      <c r="I104" s="18"/>
      <c r="J104" s="18"/>
      <c r="K104" s="6"/>
      <c r="L104" s="6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1.75" customHeight="1">
      <c r="A105" s="21" t="s">
        <v>318</v>
      </c>
      <c r="B105" s="21"/>
      <c r="C105" s="21" t="s">
        <v>316</v>
      </c>
      <c r="D105" s="15" t="s">
        <v>319</v>
      </c>
      <c r="E105" s="21"/>
      <c r="F105" s="7"/>
      <c r="G105" s="7"/>
      <c r="H105" s="21" t="s">
        <v>185</v>
      </c>
      <c r="I105" s="22"/>
      <c r="J105" s="22"/>
      <c r="K105" s="7"/>
      <c r="L105" s="7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1.75" customHeight="1">
      <c r="A106" s="19" t="s">
        <v>320</v>
      </c>
      <c r="B106" s="19"/>
      <c r="C106" s="19" t="s">
        <v>316</v>
      </c>
      <c r="D106" s="12" t="s">
        <v>321</v>
      </c>
      <c r="E106" s="19"/>
      <c r="F106" s="6"/>
      <c r="G106" s="6"/>
      <c r="H106" s="19" t="s">
        <v>185</v>
      </c>
      <c r="I106" s="18"/>
      <c r="J106" s="18"/>
      <c r="K106" s="6"/>
      <c r="L106" s="6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1.75" customHeight="1">
      <c r="A107" s="21" t="s">
        <v>322</v>
      </c>
      <c r="B107" s="21"/>
      <c r="C107" s="21" t="s">
        <v>316</v>
      </c>
      <c r="D107" s="15" t="s">
        <v>323</v>
      </c>
      <c r="E107" s="21"/>
      <c r="F107" s="7"/>
      <c r="G107" s="7"/>
      <c r="H107" s="21" t="s">
        <v>185</v>
      </c>
      <c r="I107" s="22"/>
      <c r="J107" s="22"/>
      <c r="K107" s="7"/>
      <c r="L107" s="7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1.75" customHeight="1">
      <c r="A108" s="19" t="s">
        <v>324</v>
      </c>
      <c r="B108" s="19"/>
      <c r="C108" s="19" t="s">
        <v>316</v>
      </c>
      <c r="D108" s="12" t="s">
        <v>325</v>
      </c>
      <c r="E108" s="19"/>
      <c r="F108" s="6"/>
      <c r="G108" s="6"/>
      <c r="H108" s="19" t="s">
        <v>185</v>
      </c>
      <c r="I108" s="18"/>
      <c r="J108" s="18"/>
      <c r="K108" s="6"/>
      <c r="L108" s="6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1.75" customHeight="1">
      <c r="A109" s="21" t="s">
        <v>326</v>
      </c>
      <c r="B109" s="21"/>
      <c r="C109" s="21" t="s">
        <v>121</v>
      </c>
      <c r="D109" s="15" t="s">
        <v>122</v>
      </c>
      <c r="E109" s="21"/>
      <c r="F109" s="7"/>
      <c r="G109" s="7"/>
      <c r="H109" s="21" t="s">
        <v>185</v>
      </c>
      <c r="I109" s="22"/>
      <c r="J109" s="22"/>
      <c r="K109" s="7"/>
      <c r="L109" s="7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1.75" customHeight="1">
      <c r="A110" s="19" t="s">
        <v>327</v>
      </c>
      <c r="B110" s="19"/>
      <c r="C110" s="19" t="s">
        <v>121</v>
      </c>
      <c r="D110" s="12" t="s">
        <v>328</v>
      </c>
      <c r="E110" s="19"/>
      <c r="F110" s="6"/>
      <c r="G110" s="6"/>
      <c r="H110" s="19" t="s">
        <v>185</v>
      </c>
      <c r="I110" s="18"/>
      <c r="J110" s="18"/>
      <c r="K110" s="6"/>
      <c r="L110" s="6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1.75" customHeight="1">
      <c r="A111" s="21" t="s">
        <v>329</v>
      </c>
      <c r="B111" s="21"/>
      <c r="C111" s="21" t="s">
        <v>121</v>
      </c>
      <c r="D111" s="15" t="s">
        <v>124</v>
      </c>
      <c r="E111" s="21"/>
      <c r="F111" s="7"/>
      <c r="G111" s="7"/>
      <c r="H111" s="21" t="s">
        <v>185</v>
      </c>
      <c r="I111" s="22"/>
      <c r="J111" s="22"/>
      <c r="K111" s="7"/>
      <c r="L111" s="7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1.75" customHeight="1">
      <c r="A112" s="19" t="s">
        <v>330</v>
      </c>
      <c r="B112" s="19"/>
      <c r="C112" s="19" t="s">
        <v>121</v>
      </c>
      <c r="D112" s="12" t="s">
        <v>331</v>
      </c>
      <c r="E112" s="19"/>
      <c r="F112" s="6"/>
      <c r="G112" s="6"/>
      <c r="H112" s="19" t="s">
        <v>185</v>
      </c>
      <c r="I112" s="18"/>
      <c r="J112" s="18"/>
      <c r="K112" s="6"/>
      <c r="L112" s="6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1.75" customHeight="1">
      <c r="A113" s="21" t="s">
        <v>332</v>
      </c>
      <c r="B113" s="21"/>
      <c r="C113" s="21" t="s">
        <v>121</v>
      </c>
      <c r="D113" s="15" t="s">
        <v>333</v>
      </c>
      <c r="E113" s="21"/>
      <c r="F113" s="7"/>
      <c r="G113" s="7"/>
      <c r="H113" s="21" t="s">
        <v>185</v>
      </c>
      <c r="I113" s="22"/>
      <c r="J113" s="22"/>
      <c r="K113" s="7"/>
      <c r="L113" s="7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1.75" customHeight="1">
      <c r="A114" s="19" t="s">
        <v>334</v>
      </c>
      <c r="B114" s="19"/>
      <c r="C114" s="19" t="s">
        <v>121</v>
      </c>
      <c r="D114" s="12" t="s">
        <v>133</v>
      </c>
      <c r="E114" s="19"/>
      <c r="F114" s="6"/>
      <c r="G114" s="6"/>
      <c r="H114" s="19" t="s">
        <v>185</v>
      </c>
      <c r="I114" s="18"/>
      <c r="J114" s="18"/>
      <c r="K114" s="6"/>
      <c r="L114" s="6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1.75" customHeight="1">
      <c r="A115" s="21" t="s">
        <v>335</v>
      </c>
      <c r="B115" s="21"/>
      <c r="C115" s="21" t="s">
        <v>336</v>
      </c>
      <c r="D115" s="15" t="s">
        <v>337</v>
      </c>
      <c r="E115" s="21"/>
      <c r="F115" s="7"/>
      <c r="G115" s="7"/>
      <c r="H115" s="21" t="s">
        <v>185</v>
      </c>
      <c r="I115" s="22"/>
      <c r="J115" s="22"/>
      <c r="K115" s="7"/>
      <c r="L115" s="7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1.75" customHeight="1">
      <c r="A116" s="19" t="s">
        <v>338</v>
      </c>
      <c r="B116" s="19"/>
      <c r="C116" s="19" t="s">
        <v>336</v>
      </c>
      <c r="D116" s="12" t="s">
        <v>142</v>
      </c>
      <c r="E116" s="19"/>
      <c r="F116" s="6"/>
      <c r="G116" s="6"/>
      <c r="H116" s="19" t="s">
        <v>185</v>
      </c>
      <c r="I116" s="18"/>
      <c r="J116" s="18"/>
      <c r="K116" s="6"/>
      <c r="L116" s="6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1.75" customHeight="1">
      <c r="A117" s="21" t="s">
        <v>339</v>
      </c>
      <c r="B117" s="21"/>
      <c r="C117" s="21" t="s">
        <v>336</v>
      </c>
      <c r="D117" s="15" t="s">
        <v>340</v>
      </c>
      <c r="E117" s="21"/>
      <c r="F117" s="7"/>
      <c r="G117" s="7"/>
      <c r="H117" s="21" t="s">
        <v>185</v>
      </c>
      <c r="I117" s="22"/>
      <c r="J117" s="22"/>
      <c r="K117" s="7"/>
      <c r="L117" s="7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1.75" customHeight="1">
      <c r="A118" s="19" t="s">
        <v>341</v>
      </c>
      <c r="B118" s="19"/>
      <c r="C118" s="19" t="s">
        <v>336</v>
      </c>
      <c r="D118" s="12" t="s">
        <v>342</v>
      </c>
      <c r="E118" s="19"/>
      <c r="F118" s="6"/>
      <c r="G118" s="6"/>
      <c r="H118" s="19" t="s">
        <v>185</v>
      </c>
      <c r="I118" s="18"/>
      <c r="J118" s="18"/>
      <c r="K118" s="6"/>
      <c r="L118" s="6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1.75" customHeight="1">
      <c r="A119" s="21" t="s">
        <v>343</v>
      </c>
      <c r="B119" s="21"/>
      <c r="C119" s="21" t="s">
        <v>336</v>
      </c>
      <c r="D119" s="15" t="s">
        <v>344</v>
      </c>
      <c r="E119" s="21"/>
      <c r="F119" s="7"/>
      <c r="G119" s="7"/>
      <c r="H119" s="21" t="s">
        <v>185</v>
      </c>
      <c r="I119" s="22"/>
      <c r="J119" s="22"/>
      <c r="K119" s="7"/>
      <c r="L119" s="7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1.75" customHeight="1">
      <c r="A120" s="19" t="s">
        <v>345</v>
      </c>
      <c r="B120" s="19"/>
      <c r="C120" s="19" t="s">
        <v>336</v>
      </c>
      <c r="D120" s="12" t="s">
        <v>346</v>
      </c>
      <c r="E120" s="19"/>
      <c r="F120" s="6"/>
      <c r="G120" s="6"/>
      <c r="H120" s="19" t="s">
        <v>185</v>
      </c>
      <c r="I120" s="18"/>
      <c r="J120" s="18"/>
      <c r="K120" s="6"/>
      <c r="L120" s="6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1.75" customHeight="1">
      <c r="A121" s="21" t="s">
        <v>347</v>
      </c>
      <c r="B121" s="21"/>
      <c r="C121" s="21" t="s">
        <v>336</v>
      </c>
      <c r="D121" s="15" t="s">
        <v>348</v>
      </c>
      <c r="E121" s="21"/>
      <c r="F121" s="7"/>
      <c r="G121" s="7"/>
      <c r="H121" s="21" t="s">
        <v>185</v>
      </c>
      <c r="I121" s="22"/>
      <c r="J121" s="22"/>
      <c r="K121" s="7"/>
      <c r="L121" s="7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1.75" customHeight="1">
      <c r="A122" s="19" t="s">
        <v>349</v>
      </c>
      <c r="B122" s="19"/>
      <c r="C122" s="19" t="s">
        <v>350</v>
      </c>
      <c r="D122" s="12" t="s">
        <v>351</v>
      </c>
      <c r="E122" s="19"/>
      <c r="F122" s="6"/>
      <c r="G122" s="6"/>
      <c r="H122" s="19" t="s">
        <v>185</v>
      </c>
      <c r="I122" s="18"/>
      <c r="J122" s="18"/>
      <c r="K122" s="6"/>
      <c r="L122" s="6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1.75" customHeight="1">
      <c r="A123" s="21" t="s">
        <v>352</v>
      </c>
      <c r="B123" s="21"/>
      <c r="C123" s="21" t="s">
        <v>350</v>
      </c>
      <c r="D123" s="15" t="s">
        <v>353</v>
      </c>
      <c r="E123" s="21"/>
      <c r="F123" s="7"/>
      <c r="G123" s="7"/>
      <c r="H123" s="21" t="s">
        <v>185</v>
      </c>
      <c r="I123" s="22"/>
      <c r="J123" s="22"/>
      <c r="K123" s="7"/>
      <c r="L123" s="7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1.75" customHeight="1">
      <c r="A124" s="19" t="s">
        <v>354</v>
      </c>
      <c r="B124" s="19"/>
      <c r="C124" s="19" t="s">
        <v>350</v>
      </c>
      <c r="D124" s="12" t="s">
        <v>355</v>
      </c>
      <c r="E124" s="19"/>
      <c r="F124" s="6"/>
      <c r="G124" s="6"/>
      <c r="H124" s="19" t="s">
        <v>185</v>
      </c>
      <c r="I124" s="18"/>
      <c r="J124" s="18"/>
      <c r="K124" s="6"/>
      <c r="L124" s="6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1.75" customHeight="1">
      <c r="A125" s="21" t="s">
        <v>356</v>
      </c>
      <c r="B125" s="21"/>
      <c r="C125" s="21" t="s">
        <v>350</v>
      </c>
      <c r="D125" s="15" t="s">
        <v>357</v>
      </c>
      <c r="E125" s="21"/>
      <c r="F125" s="7"/>
      <c r="G125" s="7"/>
      <c r="H125" s="21" t="s">
        <v>185</v>
      </c>
      <c r="I125" s="22"/>
      <c r="J125" s="22"/>
      <c r="K125" s="7"/>
      <c r="L125" s="7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1.75" customHeight="1">
      <c r="A126" s="19" t="s">
        <v>358</v>
      </c>
      <c r="B126" s="19"/>
      <c r="C126" s="19" t="s">
        <v>350</v>
      </c>
      <c r="D126" s="12" t="s">
        <v>359</v>
      </c>
      <c r="E126" s="19"/>
      <c r="F126" s="6"/>
      <c r="G126" s="6"/>
      <c r="H126" s="19" t="s">
        <v>185</v>
      </c>
      <c r="I126" s="18"/>
      <c r="J126" s="18"/>
      <c r="K126" s="6"/>
      <c r="L126" s="6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1.75" customHeight="1">
      <c r="A127" s="21" t="s">
        <v>360</v>
      </c>
      <c r="B127" s="21"/>
      <c r="C127" s="21" t="s">
        <v>350</v>
      </c>
      <c r="D127" s="15" t="s">
        <v>361</v>
      </c>
      <c r="E127" s="21"/>
      <c r="F127" s="7"/>
      <c r="G127" s="7"/>
      <c r="H127" s="21" t="s">
        <v>185</v>
      </c>
      <c r="I127" s="22"/>
      <c r="J127" s="22"/>
      <c r="K127" s="7"/>
      <c r="L127" s="7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</sheetData>
  <mergeCells count="17">
    <mergeCell ref="A8:L8"/>
    <mergeCell ref="A32:L32"/>
    <mergeCell ref="A30:T30"/>
    <mergeCell ref="A1:L1"/>
    <mergeCell ref="A2:L2"/>
    <mergeCell ref="A4:C4"/>
    <mergeCell ref="A5:C5"/>
    <mergeCell ref="A6:C6"/>
    <mergeCell ref="D4:F4"/>
    <mergeCell ref="D5:F5"/>
    <mergeCell ref="D6:F6"/>
    <mergeCell ref="G4:I4"/>
    <mergeCell ref="G5:I5"/>
    <mergeCell ref="G6:I6"/>
    <mergeCell ref="J4:L4"/>
    <mergeCell ref="J5:L5"/>
    <mergeCell ref="J6:L6"/>
  </mergeCells>
  <conditionalFormatting sqref="C10:C29">
    <cfRule type="expression" dxfId="134" priority="1">
      <formula>C10="Hoàn thành"</formula>
    </cfRule>
  </conditionalFormatting>
  <conditionalFormatting sqref="C10:C29">
    <cfRule type="expression" dxfId="133" priority="2">
      <formula>C10="Đang triển khai"</formula>
    </cfRule>
  </conditionalFormatting>
  <conditionalFormatting sqref="C10:C29">
    <cfRule type="expression" dxfId="132" priority="3">
      <formula>C10="Tạm dừng"</formula>
    </cfRule>
  </conditionalFormatting>
  <conditionalFormatting sqref="H34:H127">
    <cfRule type="expression" dxfId="131" priority="4">
      <formula>H34="Hoàn thành"</formula>
    </cfRule>
  </conditionalFormatting>
  <conditionalFormatting sqref="H34:H127">
    <cfRule type="expression" dxfId="130" priority="5">
      <formula>H34="Đang thực hiện"</formula>
    </cfRule>
  </conditionalFormatting>
  <conditionalFormatting sqref="H34:H127">
    <cfRule type="expression" dxfId="129" priority="6">
      <formula>H34="Bị chặn"</formula>
    </cfRule>
  </conditionalFormatting>
  <conditionalFormatting sqref="F10:F29">
    <cfRule type="expression" dxfId="128" priority="7">
      <formula>AND(F10&lt;TODAY(),F10&lt;&gt;"",C10&lt;&gt;"Hoàn thành")</formula>
    </cfRule>
  </conditionalFormatting>
  <conditionalFormatting sqref="M10:T29">
    <cfRule type="expression" dxfId="127" priority="8">
      <formula>M10="Có"</formula>
    </cfRule>
  </conditionalFormatting>
  <conditionalFormatting sqref="M10:T29">
    <cfRule type="expression" dxfId="126" priority="9">
      <formula>M10="Không"</formula>
    </cfRule>
  </conditionalFormatting>
  <conditionalFormatting sqref="X10:X29">
    <cfRule type="expression" dxfId="125" priority="10">
      <formula>X10="Xanh"</formula>
    </cfRule>
  </conditionalFormatting>
  <conditionalFormatting sqref="X10:X29">
    <cfRule type="expression" dxfId="124" priority="11">
      <formula>X10="Vàng"</formula>
    </cfRule>
  </conditionalFormatting>
  <conditionalFormatting sqref="X10:X29">
    <cfRule type="expression" dxfId="123" priority="12">
      <formula>X10="Đỏ"</formula>
    </cfRule>
  </conditionalFormatting>
  <conditionalFormatting sqref="E10:Z29">
    <cfRule type="expression" dxfId="122" priority="13">
      <formula>AND($A10&lt;&gt;"",OR(E10="",F10="",I10="",U10="",V10="",W10="",X10="",Y10=""))</formula>
    </cfRule>
  </conditionalFormatting>
  <dataValidations count="10">
    <dataValidation type="list" allowBlank="1" showInputMessage="1" showErrorMessage="1" sqref="C10:C29" xr:uid="{EA13B2D2-22F9-48BA-A627-9B2ABEDD4022}">
      <formula1>$W$2:$W$5</formula1>
    </dataValidation>
    <dataValidation type="list" allowBlank="1" showInputMessage="1" showErrorMessage="1" sqref="D10:D29" xr:uid="{44A27D6C-7898-4FB9-AD6B-9E59EB3F4322}">
      <formula1>$Y$2:$Y$6</formula1>
    </dataValidation>
    <dataValidation type="list" allowBlank="1" showInputMessage="1" showErrorMessage="1" sqref="B35:B127" xr:uid="{1DCD6BEC-C018-4BED-B526-9E57619F3408}">
      <formula1>$A$10:$A$29</formula1>
    </dataValidation>
    <dataValidation type="list" allowBlank="1" showInputMessage="1" showErrorMessage="1" sqref="H34:H127" xr:uid="{28BDAA90-E966-434A-B1E1-EDF2CD0DE8E3}">
      <formula1>$X$2:$X$5</formula1>
    </dataValidation>
    <dataValidation type="list" allowBlank="1" showInputMessage="1" showErrorMessage="1" errorTitle="Lựa chọn không hợp lệ" error="Chọn Có hoặc Không." promptTitle="Thành viên tham gia" prompt="Chọn Có cho thành viên tham gia dự án." sqref="M10:T29" xr:uid="{F5886CC4-18E7-449F-AD79-B5EFB084173A}">
      <formula1>"Có,Không"</formula1>
    </dataValidation>
    <dataValidation type="list" allowBlank="1" showInputMessage="1" showErrorMessage="1" sqref="U10:U29 V10:V29" xr:uid="{1A14EF92-69B4-4170-BA14-9B5550077C14}">
      <formula1>$AA$2:$AA$9</formula1>
    </dataValidation>
    <dataValidation type="list" allowBlank="1" showInputMessage="1" showErrorMessage="1" sqref="W10:W29" xr:uid="{81A89482-7293-42C0-B9E5-FE8A1FEC5E58}">
      <formula1>$AE$2:$AE$4</formula1>
    </dataValidation>
    <dataValidation type="list" allowBlank="1" showInputMessage="1" showErrorMessage="1" sqref="X10:X29" xr:uid="{CAC02AEC-6EAB-44C0-8509-ECC5003E5097}">
      <formula1>$AF$2:$AF$4</formula1>
    </dataValidation>
    <dataValidation type="list" allowBlank="1" showInputMessage="1" showErrorMessage="1" sqref="Y10:Y29" xr:uid="{C6BF4B05-4E79-41A3-9BEC-D0B0F769F4E4}">
      <formula1>$AG$2:$AG$6</formula1>
    </dataValidation>
    <dataValidation type="list" allowBlank="1" showInputMessage="1" showErrorMessage="1" sqref="G10:G29 E34:E127" xr:uid="{FF8BB8A2-8E9C-45E3-BF5A-AA26E612E241}">
      <formula1>$AA$2:$AA$10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3EDB-2111-4CBF-9C02-2FE506757BFA}">
  <sheetPr>
    <tabColor rgb="FFFF0000"/>
  </sheetPr>
  <dimension ref="A1:X102"/>
  <sheetViews>
    <sheetView workbookViewId="0">
      <selection activeCell="C15" sqref="C15"/>
    </sheetView>
  </sheetViews>
  <sheetFormatPr defaultRowHeight="15"/>
  <cols>
    <col min="1" max="1" width="15.28515625" customWidth="1"/>
    <col min="2" max="2" width="17.140625" customWidth="1"/>
    <col min="3" max="3" width="24.7109375" customWidth="1"/>
    <col min="4" max="4" width="41.85546875" customWidth="1"/>
    <col min="5" max="6" width="19" customWidth="1"/>
    <col min="7" max="8" width="20" customWidth="1"/>
    <col min="9" max="10" width="23.85546875" customWidth="1"/>
    <col min="11" max="12" width="36.140625" customWidth="1"/>
    <col min="14" max="22" width="0" hidden="1" customWidth="1"/>
  </cols>
  <sheetData>
    <row r="1" spans="1:24" ht="30" customHeight="1">
      <c r="A1" s="153" t="s">
        <v>362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"/>
      <c r="N1" s="1" t="s">
        <v>176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206</v>
      </c>
      <c r="V1" s="1" t="s">
        <v>369</v>
      </c>
      <c r="W1" s="1"/>
      <c r="X1" s="1"/>
    </row>
    <row r="2" spans="1:24" ht="30" customHeight="1">
      <c r="A2" s="154" t="s">
        <v>370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"/>
      <c r="N2" s="1" t="str" cm="1">
        <f t="array" ref="N2:N10">_xlfn.ANCHORARRAY('Chart Data'!M2)</f>
        <v>Toàn</v>
      </c>
      <c r="O2" s="1" t="s">
        <v>185</v>
      </c>
      <c r="P2" s="1" t="s">
        <v>371</v>
      </c>
      <c r="Q2" s="1" t="s">
        <v>200</v>
      </c>
      <c r="R2" s="1" t="s">
        <v>372</v>
      </c>
      <c r="S2" s="1" t="s">
        <v>373</v>
      </c>
      <c r="T2" s="1" t="s">
        <v>374</v>
      </c>
      <c r="U2" s="1" t="s">
        <v>375</v>
      </c>
      <c r="V2" s="1" t="s">
        <v>376</v>
      </c>
      <c r="W2" s="1"/>
      <c r="X2" s="1"/>
    </row>
    <row r="3" spans="1:24" ht="21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"/>
      <c r="N3" s="1" t="str">
        <v>Long</v>
      </c>
      <c r="O3" s="1" t="s">
        <v>191</v>
      </c>
      <c r="P3" s="1" t="s">
        <v>377</v>
      </c>
      <c r="Q3" s="1" t="s">
        <v>193</v>
      </c>
      <c r="R3" s="1" t="s">
        <v>378</v>
      </c>
      <c r="S3" s="1" t="s">
        <v>379</v>
      </c>
      <c r="T3" s="1" t="s">
        <v>380</v>
      </c>
      <c r="U3" s="1" t="s">
        <v>381</v>
      </c>
      <c r="V3" s="1" t="s">
        <v>382</v>
      </c>
      <c r="W3" s="1"/>
      <c r="X3" s="1"/>
    </row>
    <row r="4" spans="1:24" ht="21.75" customHeight="1">
      <c r="A4" s="174" t="s">
        <v>383</v>
      </c>
      <c r="B4" s="174"/>
      <c r="C4" s="174"/>
      <c r="D4" s="177" t="s">
        <v>384</v>
      </c>
      <c r="E4" s="177"/>
      <c r="F4" s="177"/>
      <c r="G4" s="177" t="s">
        <v>385</v>
      </c>
      <c r="H4" s="177"/>
      <c r="I4" s="177"/>
      <c r="J4" s="177" t="s">
        <v>381</v>
      </c>
      <c r="K4" s="177"/>
      <c r="L4" s="177"/>
      <c r="M4" s="1"/>
      <c r="N4" s="1" t="str">
        <v>Tuấn</v>
      </c>
      <c r="O4" s="1" t="s">
        <v>197</v>
      </c>
      <c r="P4" s="1"/>
      <c r="Q4" s="1" t="s">
        <v>187</v>
      </c>
      <c r="R4" s="1" t="s">
        <v>386</v>
      </c>
      <c r="S4" s="1"/>
      <c r="T4" s="1" t="s">
        <v>387</v>
      </c>
      <c r="U4" s="1" t="s">
        <v>388</v>
      </c>
      <c r="V4" s="1"/>
      <c r="W4" s="1"/>
      <c r="X4" s="1"/>
    </row>
    <row r="5" spans="1:24" ht="21.75" customHeight="1">
      <c r="A5" s="175">
        <f ca="1">COUNTIFS($E$9:$E$28,"&lt;"&amp;TODAY(),$G$9:$G$28,"&lt;&gt;Hoàn thành",$B$9:$B$28,"&lt;&gt;")</f>
        <v>0</v>
      </c>
      <c r="B5" s="175"/>
      <c r="C5" s="175"/>
      <c r="D5" s="178">
        <f>COUNTIF($J$33:$J$52,"Mở")+COUNTIF($J$33:$J$52,"Đang xử lý")</f>
        <v>0</v>
      </c>
      <c r="E5" s="178"/>
      <c r="F5" s="178"/>
      <c r="G5" s="178">
        <f>COUNTIF($H$57:$H$76,"Chờ duyệt")</f>
        <v>0</v>
      </c>
      <c r="H5" s="178"/>
      <c r="I5" s="178"/>
      <c r="J5" s="178">
        <f>COUNTIF($H$81:$H$100,"Chờ nghiệm thu")</f>
        <v>0</v>
      </c>
      <c r="K5" s="178"/>
      <c r="L5" s="178"/>
      <c r="M5" s="1"/>
      <c r="N5" s="1" t="str">
        <v>Duy</v>
      </c>
      <c r="O5" s="1" t="s">
        <v>389</v>
      </c>
      <c r="P5" s="1"/>
      <c r="Q5" s="1"/>
      <c r="R5" s="1"/>
      <c r="S5" s="1"/>
      <c r="T5" s="1" t="s">
        <v>390</v>
      </c>
      <c r="U5" s="1" t="s">
        <v>391</v>
      </c>
      <c r="V5" s="1"/>
      <c r="W5" s="1"/>
      <c r="X5" s="1"/>
    </row>
    <row r="6" spans="1:24" ht="21.75" customHeight="1">
      <c r="A6" s="176" t="s">
        <v>392</v>
      </c>
      <c r="B6" s="176"/>
      <c r="C6" s="176"/>
      <c r="D6" s="176" t="s">
        <v>393</v>
      </c>
      <c r="E6" s="176"/>
      <c r="F6" s="176"/>
      <c r="G6" s="176" t="s">
        <v>394</v>
      </c>
      <c r="H6" s="176"/>
      <c r="I6" s="176"/>
      <c r="J6" s="176" t="s">
        <v>395</v>
      </c>
      <c r="K6" s="176"/>
      <c r="L6" s="176"/>
      <c r="M6" s="1"/>
      <c r="N6" s="1" t="str">
        <v>Sang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6.25" customHeight="1">
      <c r="A7" s="173" t="s">
        <v>396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"/>
      <c r="N7" s="1" t="str">
        <v>Bảo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s="25" customFormat="1" ht="33.75" customHeight="1">
      <c r="A8" s="17" t="s">
        <v>397</v>
      </c>
      <c r="B8" s="17" t="s">
        <v>214</v>
      </c>
      <c r="C8" s="17" t="s">
        <v>398</v>
      </c>
      <c r="D8" s="17" t="s">
        <v>11</v>
      </c>
      <c r="E8" s="17" t="s">
        <v>399</v>
      </c>
      <c r="F8" s="17" t="s">
        <v>237</v>
      </c>
      <c r="G8" s="17" t="s">
        <v>216</v>
      </c>
      <c r="H8" s="17" t="s">
        <v>400</v>
      </c>
      <c r="I8" s="17" t="s">
        <v>401</v>
      </c>
      <c r="J8" s="17" t="s">
        <v>224</v>
      </c>
      <c r="K8" s="6"/>
      <c r="L8" s="6"/>
      <c r="M8" s="24"/>
      <c r="N8" s="24" t="str">
        <v>Thông</v>
      </c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21.75" customHeight="1">
      <c r="A9" s="12" t="str">
        <f t="shared" ref="A9:A28" si="0">IF(B9="","","MS-"&amp;TEXT(ROW()-8,"000"))</f>
        <v/>
      </c>
      <c r="B9" s="12"/>
      <c r="C9" s="6"/>
      <c r="D9" s="12"/>
      <c r="E9" s="13"/>
      <c r="F9" s="13"/>
      <c r="G9" s="12"/>
      <c r="H9" s="14"/>
      <c r="I9" s="6"/>
      <c r="J9" s="6"/>
      <c r="K9" s="12"/>
      <c r="L9" s="12"/>
      <c r="M9" s="1"/>
      <c r="N9" s="1" t="str">
        <v>Khánh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.75" customHeight="1">
      <c r="A10" s="15" t="str">
        <f t="shared" si="0"/>
        <v/>
      </c>
      <c r="B10" s="15"/>
      <c r="C10" s="7"/>
      <c r="D10" s="15"/>
      <c r="E10" s="16"/>
      <c r="F10" s="16"/>
      <c r="G10" s="15"/>
      <c r="H10" s="23"/>
      <c r="I10" s="7"/>
      <c r="J10" s="7"/>
      <c r="K10" s="12"/>
      <c r="L10" s="12"/>
      <c r="M10" s="1"/>
      <c r="N10" s="1" t="str">
        <v>NV.A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1.75" customHeight="1">
      <c r="A11" s="12" t="str">
        <f t="shared" si="0"/>
        <v/>
      </c>
      <c r="B11" s="12"/>
      <c r="C11" s="6"/>
      <c r="D11" s="12"/>
      <c r="E11" s="13"/>
      <c r="F11" s="13"/>
      <c r="G11" s="12"/>
      <c r="H11" s="14"/>
      <c r="I11" s="6"/>
      <c r="J11" s="6"/>
      <c r="K11" s="12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.75" customHeight="1">
      <c r="A12" s="15" t="str">
        <f t="shared" si="0"/>
        <v/>
      </c>
      <c r="B12" s="15"/>
      <c r="C12" s="7"/>
      <c r="D12" s="15"/>
      <c r="E12" s="16"/>
      <c r="F12" s="16"/>
      <c r="G12" s="15"/>
      <c r="H12" s="23"/>
      <c r="I12" s="7"/>
      <c r="J12" s="7"/>
      <c r="K12" s="12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.75" customHeight="1">
      <c r="A13" s="12" t="str">
        <f t="shared" si="0"/>
        <v/>
      </c>
      <c r="B13" s="12"/>
      <c r="C13" s="6"/>
      <c r="D13" s="12"/>
      <c r="E13" s="13"/>
      <c r="F13" s="13"/>
      <c r="G13" s="12"/>
      <c r="H13" s="14"/>
      <c r="I13" s="6"/>
      <c r="J13" s="6"/>
      <c r="K13" s="12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.75" customHeight="1">
      <c r="A14" s="15" t="str">
        <f t="shared" si="0"/>
        <v/>
      </c>
      <c r="B14" s="15"/>
      <c r="C14" s="7"/>
      <c r="D14" s="15"/>
      <c r="E14" s="16"/>
      <c r="F14" s="16"/>
      <c r="G14" s="15"/>
      <c r="H14" s="23"/>
      <c r="I14" s="7"/>
      <c r="J14" s="7"/>
      <c r="K14" s="12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.75" customHeight="1">
      <c r="A15" s="12" t="str">
        <f t="shared" si="0"/>
        <v/>
      </c>
      <c r="B15" s="12"/>
      <c r="C15" s="6"/>
      <c r="D15" s="12"/>
      <c r="E15" s="13"/>
      <c r="F15" s="13"/>
      <c r="G15" s="12"/>
      <c r="H15" s="14"/>
      <c r="I15" s="6"/>
      <c r="J15" s="6"/>
      <c r="K15" s="12"/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.75" customHeight="1">
      <c r="A16" s="15" t="str">
        <f t="shared" si="0"/>
        <v/>
      </c>
      <c r="B16" s="15"/>
      <c r="C16" s="7"/>
      <c r="D16" s="15"/>
      <c r="E16" s="16"/>
      <c r="F16" s="16"/>
      <c r="G16" s="15"/>
      <c r="H16" s="23"/>
      <c r="I16" s="7"/>
      <c r="J16" s="7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.75" customHeight="1">
      <c r="A17" s="12" t="str">
        <f t="shared" si="0"/>
        <v/>
      </c>
      <c r="B17" s="12"/>
      <c r="C17" s="6"/>
      <c r="D17" s="12"/>
      <c r="E17" s="13"/>
      <c r="F17" s="13"/>
      <c r="G17" s="12"/>
      <c r="H17" s="14"/>
      <c r="I17" s="6"/>
      <c r="J17" s="6"/>
      <c r="K17" s="12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.75" customHeight="1">
      <c r="A18" s="15" t="str">
        <f t="shared" si="0"/>
        <v/>
      </c>
      <c r="B18" s="15"/>
      <c r="C18" s="7"/>
      <c r="D18" s="15"/>
      <c r="E18" s="16"/>
      <c r="F18" s="16"/>
      <c r="G18" s="15"/>
      <c r="H18" s="23"/>
      <c r="I18" s="7"/>
      <c r="J18" s="7"/>
      <c r="K18" s="12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1.75" customHeight="1">
      <c r="A19" s="12" t="str">
        <f t="shared" si="0"/>
        <v/>
      </c>
      <c r="B19" s="12"/>
      <c r="C19" s="6"/>
      <c r="D19" s="12"/>
      <c r="E19" s="13"/>
      <c r="F19" s="13"/>
      <c r="G19" s="12"/>
      <c r="H19" s="14"/>
      <c r="I19" s="6"/>
      <c r="J19" s="6"/>
      <c r="K19" s="12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1.75" customHeight="1">
      <c r="A20" s="15" t="str">
        <f t="shared" si="0"/>
        <v/>
      </c>
      <c r="B20" s="15"/>
      <c r="C20" s="7"/>
      <c r="D20" s="15"/>
      <c r="E20" s="16"/>
      <c r="F20" s="16"/>
      <c r="G20" s="15"/>
      <c r="H20" s="23"/>
      <c r="I20" s="7"/>
      <c r="J20" s="7"/>
      <c r="K20" s="12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1.75" customHeight="1">
      <c r="A21" s="12" t="str">
        <f t="shared" si="0"/>
        <v/>
      </c>
      <c r="B21" s="12"/>
      <c r="C21" s="6"/>
      <c r="D21" s="12"/>
      <c r="E21" s="13"/>
      <c r="F21" s="13"/>
      <c r="G21" s="12"/>
      <c r="H21" s="14"/>
      <c r="I21" s="6"/>
      <c r="J21" s="6"/>
      <c r="K21" s="12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1.75" customHeight="1">
      <c r="A22" s="15" t="str">
        <f t="shared" si="0"/>
        <v/>
      </c>
      <c r="B22" s="15"/>
      <c r="C22" s="7"/>
      <c r="D22" s="15"/>
      <c r="E22" s="16"/>
      <c r="F22" s="16"/>
      <c r="G22" s="15"/>
      <c r="H22" s="23"/>
      <c r="I22" s="7"/>
      <c r="J22" s="7"/>
      <c r="K22" s="12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1.75" customHeight="1">
      <c r="A23" s="12" t="str">
        <f t="shared" si="0"/>
        <v/>
      </c>
      <c r="B23" s="12"/>
      <c r="C23" s="6"/>
      <c r="D23" s="12"/>
      <c r="E23" s="13"/>
      <c r="F23" s="13"/>
      <c r="G23" s="12"/>
      <c r="H23" s="14"/>
      <c r="I23" s="6"/>
      <c r="J23" s="6"/>
      <c r="K23" s="12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customHeight="1">
      <c r="A24" s="15" t="str">
        <f t="shared" si="0"/>
        <v/>
      </c>
      <c r="B24" s="15"/>
      <c r="C24" s="7"/>
      <c r="D24" s="15"/>
      <c r="E24" s="16"/>
      <c r="F24" s="16"/>
      <c r="G24" s="15"/>
      <c r="H24" s="23"/>
      <c r="I24" s="7"/>
      <c r="J24" s="7"/>
      <c r="K24" s="12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customHeight="1">
      <c r="A25" s="12" t="str">
        <f t="shared" si="0"/>
        <v/>
      </c>
      <c r="B25" s="12"/>
      <c r="C25" s="6"/>
      <c r="D25" s="12"/>
      <c r="E25" s="13"/>
      <c r="F25" s="13"/>
      <c r="G25" s="12"/>
      <c r="H25" s="14"/>
      <c r="I25" s="6"/>
      <c r="J25" s="6"/>
      <c r="K25" s="12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1.75" customHeight="1">
      <c r="A26" s="15" t="str">
        <f t="shared" si="0"/>
        <v/>
      </c>
      <c r="B26" s="15"/>
      <c r="C26" s="7"/>
      <c r="D26" s="15"/>
      <c r="E26" s="16"/>
      <c r="F26" s="16"/>
      <c r="G26" s="15"/>
      <c r="H26" s="23"/>
      <c r="I26" s="7"/>
      <c r="J26" s="7"/>
      <c r="K26" s="12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1.75" customHeight="1">
      <c r="A27" s="12" t="str">
        <f t="shared" si="0"/>
        <v/>
      </c>
      <c r="B27" s="12"/>
      <c r="C27" s="6"/>
      <c r="D27" s="12"/>
      <c r="E27" s="13"/>
      <c r="F27" s="13"/>
      <c r="G27" s="12"/>
      <c r="H27" s="14"/>
      <c r="I27" s="6"/>
      <c r="J27" s="6"/>
      <c r="K27" s="12"/>
      <c r="L27" s="1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1.75" customHeight="1">
      <c r="A28" s="15" t="str">
        <f t="shared" si="0"/>
        <v/>
      </c>
      <c r="B28" s="15"/>
      <c r="C28" s="7"/>
      <c r="D28" s="15"/>
      <c r="E28" s="16"/>
      <c r="F28" s="16"/>
      <c r="G28" s="15"/>
      <c r="H28" s="23"/>
      <c r="I28" s="7"/>
      <c r="J28" s="7"/>
      <c r="K28" s="12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1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1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6.25" customHeight="1">
      <c r="A31" s="179" t="s">
        <v>402</v>
      </c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s="25" customFormat="1" ht="33.75" customHeight="1">
      <c r="A32" s="26" t="s">
        <v>403</v>
      </c>
      <c r="B32" s="26" t="s">
        <v>214</v>
      </c>
      <c r="C32" s="26" t="s">
        <v>404</v>
      </c>
      <c r="D32" s="26" t="s">
        <v>405</v>
      </c>
      <c r="E32" s="26" t="s">
        <v>406</v>
      </c>
      <c r="F32" s="26" t="s">
        <v>407</v>
      </c>
      <c r="G32" s="26" t="s">
        <v>408</v>
      </c>
      <c r="H32" s="26" t="s">
        <v>11</v>
      </c>
      <c r="I32" s="26" t="s">
        <v>409</v>
      </c>
      <c r="J32" s="26" t="s">
        <v>216</v>
      </c>
      <c r="K32" s="26" t="s">
        <v>410</v>
      </c>
      <c r="L32" s="26" t="s">
        <v>411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21.75" customHeight="1">
      <c r="A33" s="12" t="str">
        <f t="shared" ref="A33:A52" si="1">IF(B33="","","RI-"&amp;TEXT(ROW()-32,"000"))</f>
        <v/>
      </c>
      <c r="B33" s="12"/>
      <c r="C33" s="12"/>
      <c r="D33" s="6"/>
      <c r="E33" s="12"/>
      <c r="F33" s="12"/>
      <c r="G33" s="12" t="str">
        <f>IF(OR(E33="",F33=""),"",IF(MATCH(E33,{"Thấp","Trung bình","Cao"},0)*MATCH(F33,{"Thấp","Trung bình","Cao"},0)&gt;=6,"Cao",IF(MATCH(E33,{"Thấp","Trung bình","Cao"},0)*MATCH(F33,{"Thấp","Trung bình","Cao"},0)&gt;=3,"Trung bình","Thấp")))</f>
        <v/>
      </c>
      <c r="H33" s="12"/>
      <c r="I33" s="13"/>
      <c r="J33" s="12"/>
      <c r="K33" s="6"/>
      <c r="L33" s="2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.75" customHeight="1">
      <c r="A34" s="15" t="str">
        <f t="shared" si="1"/>
        <v/>
      </c>
      <c r="B34" s="15"/>
      <c r="C34" s="15"/>
      <c r="D34" s="7"/>
      <c r="E34" s="15"/>
      <c r="F34" s="15"/>
      <c r="G34" s="15" t="str">
        <f>IF(OR(E34="",F34=""),"",IF(MATCH(E34,{"Thấp","Trung bình","Cao"},0)*MATCH(F34,{"Thấp","Trung bình","Cao"},0)&gt;=6,"Cao",IF(MATCH(E34,{"Thấp","Trung bình","Cao"},0)*MATCH(F34,{"Thấp","Trung bình","Cao"},0)&gt;=3,"Trung bình","Thấp")))</f>
        <v/>
      </c>
      <c r="H34" s="15"/>
      <c r="I34" s="16"/>
      <c r="J34" s="15"/>
      <c r="K34" s="7"/>
      <c r="L34" s="2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.75" customHeight="1">
      <c r="A35" s="12" t="str">
        <f t="shared" si="1"/>
        <v/>
      </c>
      <c r="B35" s="12"/>
      <c r="C35" s="12"/>
      <c r="D35" s="6"/>
      <c r="E35" s="12"/>
      <c r="F35" s="12"/>
      <c r="G35" s="12" t="str">
        <f>IF(OR(E35="",F35=""),"",IF(MATCH(E35,{"Thấp","Trung bình","Cao"},0)*MATCH(F35,{"Thấp","Trung bình","Cao"},0)&gt;=6,"Cao",IF(MATCH(E35,{"Thấp","Trung bình","Cao"},0)*MATCH(F35,{"Thấp","Trung bình","Cao"},0)&gt;=3,"Trung bình","Thấp")))</f>
        <v/>
      </c>
      <c r="H35" s="12"/>
      <c r="I35" s="13"/>
      <c r="J35" s="12"/>
      <c r="K35" s="6"/>
      <c r="L35" s="2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.75" customHeight="1">
      <c r="A36" s="15" t="str">
        <f t="shared" si="1"/>
        <v/>
      </c>
      <c r="B36" s="15"/>
      <c r="C36" s="15"/>
      <c r="D36" s="7"/>
      <c r="E36" s="15"/>
      <c r="F36" s="15"/>
      <c r="G36" s="15" t="str">
        <f>IF(OR(E36="",F36=""),"",IF(MATCH(E36,{"Thấp","Trung bình","Cao"},0)*MATCH(F36,{"Thấp","Trung bình","Cao"},0)&gt;=6,"Cao",IF(MATCH(E36,{"Thấp","Trung bình","Cao"},0)*MATCH(F36,{"Thấp","Trung bình","Cao"},0)&gt;=3,"Trung bình","Thấp")))</f>
        <v/>
      </c>
      <c r="H36" s="15"/>
      <c r="I36" s="16"/>
      <c r="J36" s="15"/>
      <c r="K36" s="7"/>
      <c r="L36" s="2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.75" customHeight="1">
      <c r="A37" s="12" t="str">
        <f t="shared" si="1"/>
        <v/>
      </c>
      <c r="B37" s="12"/>
      <c r="C37" s="12"/>
      <c r="D37" s="6"/>
      <c r="E37" s="12"/>
      <c r="F37" s="12"/>
      <c r="G37" s="12" t="str">
        <f>IF(OR(E37="",F37=""),"",IF(MATCH(E37,{"Thấp","Trung bình","Cao"},0)*MATCH(F37,{"Thấp","Trung bình","Cao"},0)&gt;=6,"Cao",IF(MATCH(E37,{"Thấp","Trung bình","Cao"},0)*MATCH(F37,{"Thấp","Trung bình","Cao"},0)&gt;=3,"Trung bình","Thấp")))</f>
        <v/>
      </c>
      <c r="H37" s="12"/>
      <c r="I37" s="13"/>
      <c r="J37" s="12"/>
      <c r="K37" s="6"/>
      <c r="L37" s="2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.75" customHeight="1">
      <c r="A38" s="15" t="str">
        <f t="shared" si="1"/>
        <v/>
      </c>
      <c r="B38" s="15"/>
      <c r="C38" s="15"/>
      <c r="D38" s="7"/>
      <c r="E38" s="15"/>
      <c r="F38" s="15"/>
      <c r="G38" s="15" t="str">
        <f>IF(OR(E38="",F38=""),"",IF(MATCH(E38,{"Thấp","Trung bình","Cao"},0)*MATCH(F38,{"Thấp","Trung bình","Cao"},0)&gt;=6,"Cao",IF(MATCH(E38,{"Thấp","Trung bình","Cao"},0)*MATCH(F38,{"Thấp","Trung bình","Cao"},0)&gt;=3,"Trung bình","Thấp")))</f>
        <v/>
      </c>
      <c r="H38" s="15"/>
      <c r="I38" s="16"/>
      <c r="J38" s="15"/>
      <c r="K38" s="7"/>
      <c r="L38" s="2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.75" customHeight="1">
      <c r="A39" s="12" t="str">
        <f t="shared" si="1"/>
        <v/>
      </c>
      <c r="B39" s="12"/>
      <c r="C39" s="12"/>
      <c r="D39" s="6"/>
      <c r="E39" s="12"/>
      <c r="F39" s="12"/>
      <c r="G39" s="12" t="str">
        <f>IF(OR(E39="",F39=""),"",IF(MATCH(E39,{"Thấp","Trung bình","Cao"},0)*MATCH(F39,{"Thấp","Trung bình","Cao"},0)&gt;=6,"Cao",IF(MATCH(E39,{"Thấp","Trung bình","Cao"},0)*MATCH(F39,{"Thấp","Trung bình","Cao"},0)&gt;=3,"Trung bình","Thấp")))</f>
        <v/>
      </c>
      <c r="H39" s="12"/>
      <c r="I39" s="13"/>
      <c r="J39" s="12"/>
      <c r="K39" s="6"/>
      <c r="L39" s="2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.75" customHeight="1">
      <c r="A40" s="15" t="str">
        <f t="shared" si="1"/>
        <v/>
      </c>
      <c r="B40" s="15"/>
      <c r="C40" s="15"/>
      <c r="D40" s="7"/>
      <c r="E40" s="15"/>
      <c r="F40" s="15"/>
      <c r="G40" s="15" t="str">
        <f>IF(OR(E40="",F40=""),"",IF(MATCH(E40,{"Thấp","Trung bình","Cao"},0)*MATCH(F40,{"Thấp","Trung bình","Cao"},0)&gt;=6,"Cao",IF(MATCH(E40,{"Thấp","Trung bình","Cao"},0)*MATCH(F40,{"Thấp","Trung bình","Cao"},0)&gt;=3,"Trung bình","Thấp")))</f>
        <v/>
      </c>
      <c r="H40" s="15"/>
      <c r="I40" s="16"/>
      <c r="J40" s="15"/>
      <c r="K40" s="7"/>
      <c r="L40" s="2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.75" customHeight="1">
      <c r="A41" s="12" t="str">
        <f t="shared" si="1"/>
        <v/>
      </c>
      <c r="B41" s="12"/>
      <c r="C41" s="12"/>
      <c r="D41" s="6"/>
      <c r="E41" s="12"/>
      <c r="F41" s="12"/>
      <c r="G41" s="12" t="str">
        <f>IF(OR(E41="",F41=""),"",IF(MATCH(E41,{"Thấp","Trung bình","Cao"},0)*MATCH(F41,{"Thấp","Trung bình","Cao"},0)&gt;=6,"Cao",IF(MATCH(E41,{"Thấp","Trung bình","Cao"},0)*MATCH(F41,{"Thấp","Trung bình","Cao"},0)&gt;=3,"Trung bình","Thấp")))</f>
        <v/>
      </c>
      <c r="H41" s="12"/>
      <c r="I41" s="13"/>
      <c r="J41" s="12"/>
      <c r="K41" s="6"/>
      <c r="L41" s="2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.75" customHeight="1">
      <c r="A42" s="15" t="str">
        <f t="shared" si="1"/>
        <v/>
      </c>
      <c r="B42" s="15"/>
      <c r="C42" s="15"/>
      <c r="D42" s="7"/>
      <c r="E42" s="15"/>
      <c r="F42" s="15"/>
      <c r="G42" s="15" t="str">
        <f>IF(OR(E42="",F42=""),"",IF(MATCH(E42,{"Thấp","Trung bình","Cao"},0)*MATCH(F42,{"Thấp","Trung bình","Cao"},0)&gt;=6,"Cao",IF(MATCH(E42,{"Thấp","Trung bình","Cao"},0)*MATCH(F42,{"Thấp","Trung bình","Cao"},0)&gt;=3,"Trung bình","Thấp")))</f>
        <v/>
      </c>
      <c r="H42" s="15"/>
      <c r="I42" s="16"/>
      <c r="J42" s="15"/>
      <c r="K42" s="7"/>
      <c r="L42" s="2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.75" customHeight="1">
      <c r="A43" s="12" t="str">
        <f t="shared" si="1"/>
        <v/>
      </c>
      <c r="B43" s="12"/>
      <c r="C43" s="12"/>
      <c r="D43" s="6"/>
      <c r="E43" s="12"/>
      <c r="F43" s="12"/>
      <c r="G43" s="12" t="str">
        <f>IF(OR(E43="",F43=""),"",IF(MATCH(E43,{"Thấp","Trung bình","Cao"},0)*MATCH(F43,{"Thấp","Trung bình","Cao"},0)&gt;=6,"Cao",IF(MATCH(E43,{"Thấp","Trung bình","Cao"},0)*MATCH(F43,{"Thấp","Trung bình","Cao"},0)&gt;=3,"Trung bình","Thấp")))</f>
        <v/>
      </c>
      <c r="H43" s="12"/>
      <c r="I43" s="13"/>
      <c r="J43" s="12"/>
      <c r="K43" s="6"/>
      <c r="L43" s="2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.75" customHeight="1">
      <c r="A44" s="15" t="str">
        <f t="shared" si="1"/>
        <v/>
      </c>
      <c r="B44" s="15"/>
      <c r="C44" s="15"/>
      <c r="D44" s="7"/>
      <c r="E44" s="15"/>
      <c r="F44" s="15"/>
      <c r="G44" s="15" t="str">
        <f>IF(OR(E44="",F44=""),"",IF(MATCH(E44,{"Thấp","Trung bình","Cao"},0)*MATCH(F44,{"Thấp","Trung bình","Cao"},0)&gt;=6,"Cao",IF(MATCH(E44,{"Thấp","Trung bình","Cao"},0)*MATCH(F44,{"Thấp","Trung bình","Cao"},0)&gt;=3,"Trung bình","Thấp")))</f>
        <v/>
      </c>
      <c r="H44" s="15"/>
      <c r="I44" s="16"/>
      <c r="J44" s="15"/>
      <c r="K44" s="7"/>
      <c r="L44" s="2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.75" customHeight="1">
      <c r="A45" s="12" t="str">
        <f t="shared" si="1"/>
        <v/>
      </c>
      <c r="B45" s="12"/>
      <c r="C45" s="12"/>
      <c r="D45" s="6"/>
      <c r="E45" s="12"/>
      <c r="F45" s="12"/>
      <c r="G45" s="12" t="str">
        <f>IF(OR(E45="",F45=""),"",IF(MATCH(E45,{"Thấp","Trung bình","Cao"},0)*MATCH(F45,{"Thấp","Trung bình","Cao"},0)&gt;=6,"Cao",IF(MATCH(E45,{"Thấp","Trung bình","Cao"},0)*MATCH(F45,{"Thấp","Trung bình","Cao"},0)&gt;=3,"Trung bình","Thấp")))</f>
        <v/>
      </c>
      <c r="H45" s="12"/>
      <c r="I45" s="13"/>
      <c r="J45" s="12"/>
      <c r="K45" s="6"/>
      <c r="L45" s="2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.75" customHeight="1">
      <c r="A46" s="15" t="str">
        <f t="shared" si="1"/>
        <v/>
      </c>
      <c r="B46" s="15"/>
      <c r="C46" s="15"/>
      <c r="D46" s="7"/>
      <c r="E46" s="15"/>
      <c r="F46" s="15"/>
      <c r="G46" s="15" t="str">
        <f>IF(OR(E46="",F46=""),"",IF(MATCH(E46,{"Thấp","Trung bình","Cao"},0)*MATCH(F46,{"Thấp","Trung bình","Cao"},0)&gt;=6,"Cao",IF(MATCH(E46,{"Thấp","Trung bình","Cao"},0)*MATCH(F46,{"Thấp","Trung bình","Cao"},0)&gt;=3,"Trung bình","Thấp")))</f>
        <v/>
      </c>
      <c r="H46" s="15"/>
      <c r="I46" s="16"/>
      <c r="J46" s="15"/>
      <c r="K46" s="7"/>
      <c r="L46" s="2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1.75" customHeight="1">
      <c r="A47" s="12" t="str">
        <f t="shared" si="1"/>
        <v/>
      </c>
      <c r="B47" s="12"/>
      <c r="C47" s="12"/>
      <c r="D47" s="6"/>
      <c r="E47" s="12"/>
      <c r="F47" s="12"/>
      <c r="G47" s="12" t="str">
        <f>IF(OR(E47="",F47=""),"",IF(MATCH(E47,{"Thấp","Trung bình","Cao"},0)*MATCH(F47,{"Thấp","Trung bình","Cao"},0)&gt;=6,"Cao",IF(MATCH(E47,{"Thấp","Trung bình","Cao"},0)*MATCH(F47,{"Thấp","Trung bình","Cao"},0)&gt;=3,"Trung bình","Thấp")))</f>
        <v/>
      </c>
      <c r="H47" s="12"/>
      <c r="I47" s="13"/>
      <c r="J47" s="12"/>
      <c r="K47" s="6"/>
      <c r="L47" s="2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.75" customHeight="1">
      <c r="A48" s="15" t="str">
        <f t="shared" si="1"/>
        <v/>
      </c>
      <c r="B48" s="15"/>
      <c r="C48" s="15"/>
      <c r="D48" s="7"/>
      <c r="E48" s="15"/>
      <c r="F48" s="15"/>
      <c r="G48" s="15" t="str">
        <f>IF(OR(E48="",F48=""),"",IF(MATCH(E48,{"Thấp","Trung bình","Cao"},0)*MATCH(F48,{"Thấp","Trung bình","Cao"},0)&gt;=6,"Cao",IF(MATCH(E48,{"Thấp","Trung bình","Cao"},0)*MATCH(F48,{"Thấp","Trung bình","Cao"},0)&gt;=3,"Trung bình","Thấp")))</f>
        <v/>
      </c>
      <c r="H48" s="15"/>
      <c r="I48" s="16"/>
      <c r="J48" s="15"/>
      <c r="K48" s="7"/>
      <c r="L48" s="2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.75" customHeight="1">
      <c r="A49" s="12" t="str">
        <f t="shared" si="1"/>
        <v/>
      </c>
      <c r="B49" s="12"/>
      <c r="C49" s="12"/>
      <c r="D49" s="6"/>
      <c r="E49" s="12"/>
      <c r="F49" s="12"/>
      <c r="G49" s="12" t="str">
        <f>IF(OR(E49="",F49=""),"",IF(MATCH(E49,{"Thấp","Trung bình","Cao"},0)*MATCH(F49,{"Thấp","Trung bình","Cao"},0)&gt;=6,"Cao",IF(MATCH(E49,{"Thấp","Trung bình","Cao"},0)*MATCH(F49,{"Thấp","Trung bình","Cao"},0)&gt;=3,"Trung bình","Thấp")))</f>
        <v/>
      </c>
      <c r="H49" s="12"/>
      <c r="I49" s="13"/>
      <c r="J49" s="12"/>
      <c r="K49" s="6"/>
      <c r="L49" s="2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.75" customHeight="1">
      <c r="A50" s="15" t="str">
        <f t="shared" si="1"/>
        <v/>
      </c>
      <c r="B50" s="15"/>
      <c r="C50" s="15"/>
      <c r="D50" s="7"/>
      <c r="E50" s="15"/>
      <c r="F50" s="15"/>
      <c r="G50" s="15" t="str">
        <f>IF(OR(E50="",F50=""),"",IF(MATCH(E50,{"Thấp","Trung bình","Cao"},0)*MATCH(F50,{"Thấp","Trung bình","Cao"},0)&gt;=6,"Cao",IF(MATCH(E50,{"Thấp","Trung bình","Cao"},0)*MATCH(F50,{"Thấp","Trung bình","Cao"},0)&gt;=3,"Trung bình","Thấp")))</f>
        <v/>
      </c>
      <c r="H50" s="15"/>
      <c r="I50" s="16"/>
      <c r="J50" s="15"/>
      <c r="K50" s="7"/>
      <c r="L50" s="2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.75" customHeight="1">
      <c r="A51" s="12" t="str">
        <f t="shared" si="1"/>
        <v/>
      </c>
      <c r="B51" s="12"/>
      <c r="C51" s="12"/>
      <c r="D51" s="6"/>
      <c r="E51" s="12"/>
      <c r="F51" s="12"/>
      <c r="G51" s="12" t="str">
        <f>IF(OR(E51="",F51=""),"",IF(MATCH(E51,{"Thấp","Trung bình","Cao"},0)*MATCH(F51,{"Thấp","Trung bình","Cao"},0)&gt;=6,"Cao",IF(MATCH(E51,{"Thấp","Trung bình","Cao"},0)*MATCH(F51,{"Thấp","Trung bình","Cao"},0)&gt;=3,"Trung bình","Thấp")))</f>
        <v/>
      </c>
      <c r="H51" s="12"/>
      <c r="I51" s="13"/>
      <c r="J51" s="12"/>
      <c r="K51" s="6"/>
      <c r="L51" s="2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.75" customHeight="1">
      <c r="A52" s="15" t="str">
        <f t="shared" si="1"/>
        <v/>
      </c>
      <c r="B52" s="15"/>
      <c r="C52" s="15"/>
      <c r="D52" s="7"/>
      <c r="E52" s="15"/>
      <c r="F52" s="15"/>
      <c r="G52" s="15" t="str">
        <f>IF(OR(E52="",F52=""),"",IF(MATCH(E52,{"Thấp","Trung bình","Cao"},0)*MATCH(F52,{"Thấp","Trung bình","Cao"},0)&gt;=6,"Cao",IF(MATCH(E52,{"Thấp","Trung bình","Cao"},0)*MATCH(F52,{"Thấp","Trung bình","Cao"},0)&gt;=3,"Trung bình","Thấp")))</f>
        <v/>
      </c>
      <c r="H52" s="15"/>
      <c r="I52" s="16"/>
      <c r="J52" s="15"/>
      <c r="K52" s="7"/>
      <c r="L52" s="2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6.25" customHeight="1">
      <c r="A55" s="173" t="s">
        <v>412</v>
      </c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s="25" customFormat="1" ht="33.75" customHeight="1">
      <c r="A56" s="17" t="s">
        <v>413</v>
      </c>
      <c r="B56" s="17" t="s">
        <v>214</v>
      </c>
      <c r="C56" s="17" t="s">
        <v>404</v>
      </c>
      <c r="D56" s="17" t="s">
        <v>414</v>
      </c>
      <c r="E56" s="17" t="s">
        <v>415</v>
      </c>
      <c r="F56" s="17" t="s">
        <v>416</v>
      </c>
      <c r="G56" s="17" t="s">
        <v>417</v>
      </c>
      <c r="H56" s="17" t="s">
        <v>216</v>
      </c>
      <c r="I56" s="17" t="s">
        <v>418</v>
      </c>
      <c r="J56" s="17" t="s">
        <v>419</v>
      </c>
      <c r="K56" s="17" t="s">
        <v>420</v>
      </c>
      <c r="L56" s="17" t="s">
        <v>224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21.75" customHeight="1">
      <c r="A57" s="12" t="str">
        <f t="shared" ref="A57:A76" si="2">IF(B57="","","DC-"&amp;TEXT(ROW()-56,"000"))</f>
        <v/>
      </c>
      <c r="B57" s="12"/>
      <c r="C57" s="12"/>
      <c r="D57" s="6"/>
      <c r="E57" s="12"/>
      <c r="F57" s="13"/>
      <c r="G57" s="12"/>
      <c r="H57" s="12"/>
      <c r="I57" s="13"/>
      <c r="J57" s="6"/>
      <c r="K57" s="6"/>
      <c r="L57" s="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.75" customHeight="1">
      <c r="A58" s="15" t="str">
        <f t="shared" si="2"/>
        <v/>
      </c>
      <c r="B58" s="15"/>
      <c r="C58" s="15"/>
      <c r="D58" s="7"/>
      <c r="E58" s="15"/>
      <c r="F58" s="16"/>
      <c r="G58" s="15"/>
      <c r="H58" s="15"/>
      <c r="I58" s="16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.75" customHeight="1">
      <c r="A59" s="12" t="str">
        <f t="shared" si="2"/>
        <v/>
      </c>
      <c r="B59" s="12"/>
      <c r="C59" s="12"/>
      <c r="D59" s="6"/>
      <c r="E59" s="12"/>
      <c r="F59" s="13"/>
      <c r="G59" s="12"/>
      <c r="H59" s="12"/>
      <c r="I59" s="13"/>
      <c r="J59" s="6"/>
      <c r="K59" s="6"/>
      <c r="L59" s="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.75" customHeight="1">
      <c r="A60" s="15" t="str">
        <f t="shared" si="2"/>
        <v/>
      </c>
      <c r="B60" s="15"/>
      <c r="C60" s="15"/>
      <c r="D60" s="7"/>
      <c r="E60" s="15"/>
      <c r="F60" s="16"/>
      <c r="G60" s="15"/>
      <c r="H60" s="15"/>
      <c r="I60" s="16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.75" customHeight="1">
      <c r="A61" s="12" t="str">
        <f t="shared" si="2"/>
        <v/>
      </c>
      <c r="B61" s="12"/>
      <c r="C61" s="12"/>
      <c r="D61" s="6"/>
      <c r="E61" s="12"/>
      <c r="F61" s="13"/>
      <c r="G61" s="12"/>
      <c r="H61" s="12"/>
      <c r="I61" s="13"/>
      <c r="J61" s="6"/>
      <c r="K61" s="6"/>
      <c r="L61" s="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.75" customHeight="1">
      <c r="A62" s="15" t="str">
        <f t="shared" si="2"/>
        <v/>
      </c>
      <c r="B62" s="15"/>
      <c r="C62" s="15"/>
      <c r="D62" s="7"/>
      <c r="E62" s="15"/>
      <c r="F62" s="16"/>
      <c r="G62" s="15"/>
      <c r="H62" s="15"/>
      <c r="I62" s="16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.75" customHeight="1">
      <c r="A63" s="12" t="str">
        <f t="shared" si="2"/>
        <v/>
      </c>
      <c r="B63" s="12"/>
      <c r="C63" s="12"/>
      <c r="D63" s="6"/>
      <c r="E63" s="12"/>
      <c r="F63" s="13"/>
      <c r="G63" s="12"/>
      <c r="H63" s="12"/>
      <c r="I63" s="13"/>
      <c r="J63" s="6"/>
      <c r="K63" s="6"/>
      <c r="L63" s="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.75" customHeight="1">
      <c r="A64" s="15" t="str">
        <f t="shared" si="2"/>
        <v/>
      </c>
      <c r="B64" s="15"/>
      <c r="C64" s="15"/>
      <c r="D64" s="7"/>
      <c r="E64" s="15"/>
      <c r="F64" s="16"/>
      <c r="G64" s="15"/>
      <c r="H64" s="15"/>
      <c r="I64" s="16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.75" customHeight="1">
      <c r="A65" s="12" t="str">
        <f t="shared" si="2"/>
        <v/>
      </c>
      <c r="B65" s="12"/>
      <c r="C65" s="12"/>
      <c r="D65" s="6"/>
      <c r="E65" s="12"/>
      <c r="F65" s="13"/>
      <c r="G65" s="12"/>
      <c r="H65" s="12"/>
      <c r="I65" s="13"/>
      <c r="J65" s="6"/>
      <c r="K65" s="6"/>
      <c r="L65" s="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.75" customHeight="1">
      <c r="A66" s="15" t="str">
        <f t="shared" si="2"/>
        <v/>
      </c>
      <c r="B66" s="15"/>
      <c r="C66" s="15"/>
      <c r="D66" s="7"/>
      <c r="E66" s="15"/>
      <c r="F66" s="16"/>
      <c r="G66" s="15"/>
      <c r="H66" s="15"/>
      <c r="I66" s="16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.75" customHeight="1">
      <c r="A67" s="12" t="str">
        <f t="shared" si="2"/>
        <v/>
      </c>
      <c r="B67" s="12"/>
      <c r="C67" s="12"/>
      <c r="D67" s="6"/>
      <c r="E67" s="12"/>
      <c r="F67" s="13"/>
      <c r="G67" s="12"/>
      <c r="H67" s="12"/>
      <c r="I67" s="13"/>
      <c r="J67" s="6"/>
      <c r="K67" s="6"/>
      <c r="L67" s="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.75" customHeight="1">
      <c r="A68" s="15" t="str">
        <f t="shared" si="2"/>
        <v/>
      </c>
      <c r="B68" s="15"/>
      <c r="C68" s="15"/>
      <c r="D68" s="7"/>
      <c r="E68" s="15"/>
      <c r="F68" s="16"/>
      <c r="G68" s="15"/>
      <c r="H68" s="15"/>
      <c r="I68" s="16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.75" customHeight="1">
      <c r="A69" s="12" t="str">
        <f t="shared" si="2"/>
        <v/>
      </c>
      <c r="B69" s="12"/>
      <c r="C69" s="12"/>
      <c r="D69" s="6"/>
      <c r="E69" s="12"/>
      <c r="F69" s="13"/>
      <c r="G69" s="12"/>
      <c r="H69" s="12"/>
      <c r="I69" s="13"/>
      <c r="J69" s="6"/>
      <c r="K69" s="6"/>
      <c r="L69" s="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.75" customHeight="1">
      <c r="A70" s="15" t="str">
        <f t="shared" si="2"/>
        <v/>
      </c>
      <c r="B70" s="15"/>
      <c r="C70" s="15"/>
      <c r="D70" s="7"/>
      <c r="E70" s="15"/>
      <c r="F70" s="16"/>
      <c r="G70" s="15"/>
      <c r="H70" s="15"/>
      <c r="I70" s="16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.75" customHeight="1">
      <c r="A71" s="12" t="str">
        <f t="shared" si="2"/>
        <v/>
      </c>
      <c r="B71" s="12"/>
      <c r="C71" s="12"/>
      <c r="D71" s="6"/>
      <c r="E71" s="12"/>
      <c r="F71" s="13"/>
      <c r="G71" s="12"/>
      <c r="H71" s="12"/>
      <c r="I71" s="13"/>
      <c r="J71" s="6"/>
      <c r="K71" s="6"/>
      <c r="L71" s="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.75" customHeight="1">
      <c r="A72" s="15" t="str">
        <f t="shared" si="2"/>
        <v/>
      </c>
      <c r="B72" s="15"/>
      <c r="C72" s="15"/>
      <c r="D72" s="7"/>
      <c r="E72" s="15"/>
      <c r="F72" s="16"/>
      <c r="G72" s="15"/>
      <c r="H72" s="15"/>
      <c r="I72" s="16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.75" customHeight="1">
      <c r="A73" s="12" t="str">
        <f t="shared" si="2"/>
        <v/>
      </c>
      <c r="B73" s="12"/>
      <c r="C73" s="12"/>
      <c r="D73" s="6"/>
      <c r="E73" s="12"/>
      <c r="F73" s="13"/>
      <c r="G73" s="12"/>
      <c r="H73" s="12"/>
      <c r="I73" s="13"/>
      <c r="J73" s="6"/>
      <c r="K73" s="6"/>
      <c r="L73" s="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.75" customHeight="1">
      <c r="A74" s="15" t="str">
        <f t="shared" si="2"/>
        <v/>
      </c>
      <c r="B74" s="15"/>
      <c r="C74" s="15"/>
      <c r="D74" s="7"/>
      <c r="E74" s="15"/>
      <c r="F74" s="16"/>
      <c r="G74" s="15"/>
      <c r="H74" s="15"/>
      <c r="I74" s="16"/>
      <c r="J74" s="7"/>
      <c r="K74" s="7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.75" customHeight="1">
      <c r="A75" s="12" t="str">
        <f t="shared" si="2"/>
        <v/>
      </c>
      <c r="B75" s="12"/>
      <c r="C75" s="12"/>
      <c r="D75" s="6"/>
      <c r="E75" s="12"/>
      <c r="F75" s="13"/>
      <c r="G75" s="12"/>
      <c r="H75" s="12"/>
      <c r="I75" s="13"/>
      <c r="J75" s="6"/>
      <c r="K75" s="6"/>
      <c r="L75" s="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.75" customHeight="1">
      <c r="A76" s="15" t="str">
        <f t="shared" si="2"/>
        <v/>
      </c>
      <c r="B76" s="15"/>
      <c r="C76" s="15"/>
      <c r="D76" s="7"/>
      <c r="E76" s="15"/>
      <c r="F76" s="16"/>
      <c r="G76" s="15"/>
      <c r="H76" s="15"/>
      <c r="I76" s="16"/>
      <c r="J76" s="7"/>
      <c r="K76" s="7"/>
      <c r="L76" s="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6.25" customHeight="1">
      <c r="A79" s="173" t="s">
        <v>421</v>
      </c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s="25" customFormat="1" ht="33.75" customHeight="1">
      <c r="A80" s="17" t="s">
        <v>422</v>
      </c>
      <c r="B80" s="17" t="s">
        <v>214</v>
      </c>
      <c r="C80" s="17" t="s">
        <v>423</v>
      </c>
      <c r="D80" s="17" t="s">
        <v>424</v>
      </c>
      <c r="E80" s="17" t="s">
        <v>425</v>
      </c>
      <c r="F80" s="17" t="s">
        <v>426</v>
      </c>
      <c r="G80" s="17" t="s">
        <v>427</v>
      </c>
      <c r="H80" s="17" t="s">
        <v>216</v>
      </c>
      <c r="I80" s="17" t="s">
        <v>428</v>
      </c>
      <c r="J80" s="17" t="s">
        <v>429</v>
      </c>
      <c r="K80" s="17" t="s">
        <v>430</v>
      </c>
      <c r="L80" s="17" t="s">
        <v>224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21.75" customHeight="1">
      <c r="A81" s="12" t="str">
        <f t="shared" ref="A81:A100" si="3">IF(B81="","","NT-"&amp;TEXT(ROW()-80,"000"))</f>
        <v/>
      </c>
      <c r="B81" s="12"/>
      <c r="C81" s="6"/>
      <c r="D81" s="6"/>
      <c r="E81" s="12"/>
      <c r="F81" s="13"/>
      <c r="G81" s="13"/>
      <c r="H81" s="12"/>
      <c r="I81" s="6"/>
      <c r="J81" s="6"/>
      <c r="K81" s="6"/>
      <c r="L81" s="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.75" customHeight="1">
      <c r="A82" s="15" t="str">
        <f t="shared" si="3"/>
        <v/>
      </c>
      <c r="B82" s="15"/>
      <c r="C82" s="7"/>
      <c r="D82" s="7"/>
      <c r="E82" s="15"/>
      <c r="F82" s="16"/>
      <c r="G82" s="16"/>
      <c r="H82" s="15"/>
      <c r="I82" s="7"/>
      <c r="J82" s="7"/>
      <c r="K82" s="7"/>
      <c r="L82" s="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.75" customHeight="1">
      <c r="A83" s="12" t="str">
        <f t="shared" si="3"/>
        <v/>
      </c>
      <c r="B83" s="12"/>
      <c r="C83" s="6"/>
      <c r="D83" s="6"/>
      <c r="E83" s="12"/>
      <c r="F83" s="13"/>
      <c r="G83" s="13"/>
      <c r="H83" s="12"/>
      <c r="I83" s="6"/>
      <c r="J83" s="6"/>
      <c r="K83" s="6"/>
      <c r="L83" s="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.75" customHeight="1">
      <c r="A84" s="15" t="str">
        <f t="shared" si="3"/>
        <v/>
      </c>
      <c r="B84" s="15"/>
      <c r="C84" s="7"/>
      <c r="D84" s="7"/>
      <c r="E84" s="15"/>
      <c r="F84" s="16"/>
      <c r="G84" s="16"/>
      <c r="H84" s="15"/>
      <c r="I84" s="7"/>
      <c r="J84" s="7"/>
      <c r="K84" s="7"/>
      <c r="L84" s="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.75" customHeight="1">
      <c r="A85" s="12" t="str">
        <f t="shared" si="3"/>
        <v/>
      </c>
      <c r="B85" s="12"/>
      <c r="C85" s="6"/>
      <c r="D85" s="6"/>
      <c r="E85" s="12"/>
      <c r="F85" s="13"/>
      <c r="G85" s="13"/>
      <c r="H85" s="12"/>
      <c r="I85" s="6"/>
      <c r="J85" s="6"/>
      <c r="K85" s="6"/>
      <c r="L85" s="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1.75" customHeight="1">
      <c r="A86" s="15" t="str">
        <f t="shared" si="3"/>
        <v/>
      </c>
      <c r="B86" s="15"/>
      <c r="C86" s="7"/>
      <c r="D86" s="7"/>
      <c r="E86" s="15"/>
      <c r="F86" s="16"/>
      <c r="G86" s="16"/>
      <c r="H86" s="15"/>
      <c r="I86" s="7"/>
      <c r="J86" s="7"/>
      <c r="K86" s="7"/>
      <c r="L86" s="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1.75" customHeight="1">
      <c r="A87" s="12" t="str">
        <f t="shared" si="3"/>
        <v/>
      </c>
      <c r="B87" s="12"/>
      <c r="C87" s="6"/>
      <c r="D87" s="6"/>
      <c r="E87" s="12"/>
      <c r="F87" s="13"/>
      <c r="G87" s="13"/>
      <c r="H87" s="12"/>
      <c r="I87" s="6"/>
      <c r="J87" s="6"/>
      <c r="K87" s="6"/>
      <c r="L87" s="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1.75" customHeight="1">
      <c r="A88" s="15" t="str">
        <f t="shared" si="3"/>
        <v/>
      </c>
      <c r="B88" s="15"/>
      <c r="C88" s="7"/>
      <c r="D88" s="7"/>
      <c r="E88" s="15"/>
      <c r="F88" s="16"/>
      <c r="G88" s="16"/>
      <c r="H88" s="15"/>
      <c r="I88" s="7"/>
      <c r="J88" s="7"/>
      <c r="K88" s="7"/>
      <c r="L88" s="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1.75" customHeight="1">
      <c r="A89" s="12" t="str">
        <f t="shared" si="3"/>
        <v/>
      </c>
      <c r="B89" s="12"/>
      <c r="C89" s="6"/>
      <c r="D89" s="6"/>
      <c r="E89" s="12"/>
      <c r="F89" s="13"/>
      <c r="G89" s="13"/>
      <c r="H89" s="12"/>
      <c r="I89" s="6"/>
      <c r="J89" s="6"/>
      <c r="K89" s="6"/>
      <c r="L89" s="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1.75" customHeight="1">
      <c r="A90" s="15" t="str">
        <f t="shared" si="3"/>
        <v/>
      </c>
      <c r="B90" s="15"/>
      <c r="C90" s="7"/>
      <c r="D90" s="7"/>
      <c r="E90" s="15"/>
      <c r="F90" s="16"/>
      <c r="G90" s="16"/>
      <c r="H90" s="15"/>
      <c r="I90" s="7"/>
      <c r="J90" s="7"/>
      <c r="K90" s="7"/>
      <c r="L90" s="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1.75" customHeight="1">
      <c r="A91" s="12" t="str">
        <f t="shared" si="3"/>
        <v/>
      </c>
      <c r="B91" s="12"/>
      <c r="C91" s="6"/>
      <c r="D91" s="6"/>
      <c r="E91" s="12"/>
      <c r="F91" s="13"/>
      <c r="G91" s="13"/>
      <c r="H91" s="12"/>
      <c r="I91" s="6"/>
      <c r="J91" s="6"/>
      <c r="K91" s="6"/>
      <c r="L91" s="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1.75" customHeight="1">
      <c r="A92" s="15" t="str">
        <f t="shared" si="3"/>
        <v/>
      </c>
      <c r="B92" s="15"/>
      <c r="C92" s="7"/>
      <c r="D92" s="7"/>
      <c r="E92" s="15"/>
      <c r="F92" s="16"/>
      <c r="G92" s="16"/>
      <c r="H92" s="15"/>
      <c r="I92" s="7"/>
      <c r="J92" s="7"/>
      <c r="K92" s="7"/>
      <c r="L92" s="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1.75" customHeight="1">
      <c r="A93" s="12" t="str">
        <f t="shared" si="3"/>
        <v/>
      </c>
      <c r="B93" s="12"/>
      <c r="C93" s="6"/>
      <c r="D93" s="6"/>
      <c r="E93" s="12"/>
      <c r="F93" s="13"/>
      <c r="G93" s="13"/>
      <c r="H93" s="12"/>
      <c r="I93" s="6"/>
      <c r="J93" s="6"/>
      <c r="K93" s="6"/>
      <c r="L93" s="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1.75" customHeight="1">
      <c r="A94" s="15" t="str">
        <f t="shared" si="3"/>
        <v/>
      </c>
      <c r="B94" s="15"/>
      <c r="C94" s="7"/>
      <c r="D94" s="7"/>
      <c r="E94" s="15"/>
      <c r="F94" s="16"/>
      <c r="G94" s="16"/>
      <c r="H94" s="15"/>
      <c r="I94" s="7"/>
      <c r="J94" s="7"/>
      <c r="K94" s="7"/>
      <c r="L94" s="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1.75" customHeight="1">
      <c r="A95" s="12" t="str">
        <f t="shared" si="3"/>
        <v/>
      </c>
      <c r="B95" s="12"/>
      <c r="C95" s="6"/>
      <c r="D95" s="6"/>
      <c r="E95" s="12"/>
      <c r="F95" s="13"/>
      <c r="G95" s="13"/>
      <c r="H95" s="12"/>
      <c r="I95" s="6"/>
      <c r="J95" s="6"/>
      <c r="K95" s="6"/>
      <c r="L95" s="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1.75" customHeight="1">
      <c r="A96" s="15" t="str">
        <f t="shared" si="3"/>
        <v/>
      </c>
      <c r="B96" s="15"/>
      <c r="C96" s="7"/>
      <c r="D96" s="7"/>
      <c r="E96" s="15"/>
      <c r="F96" s="16"/>
      <c r="G96" s="16"/>
      <c r="H96" s="15"/>
      <c r="I96" s="7"/>
      <c r="J96" s="7"/>
      <c r="K96" s="7"/>
      <c r="L96" s="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1.75" customHeight="1">
      <c r="A97" s="12" t="str">
        <f t="shared" si="3"/>
        <v/>
      </c>
      <c r="B97" s="12"/>
      <c r="C97" s="6"/>
      <c r="D97" s="6"/>
      <c r="E97" s="12"/>
      <c r="F97" s="13"/>
      <c r="G97" s="13"/>
      <c r="H97" s="12"/>
      <c r="I97" s="6"/>
      <c r="J97" s="6"/>
      <c r="K97" s="6"/>
      <c r="L97" s="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1.75" customHeight="1">
      <c r="A98" s="15" t="str">
        <f t="shared" si="3"/>
        <v/>
      </c>
      <c r="B98" s="15"/>
      <c r="C98" s="7"/>
      <c r="D98" s="7"/>
      <c r="E98" s="15"/>
      <c r="F98" s="16"/>
      <c r="G98" s="16"/>
      <c r="H98" s="15"/>
      <c r="I98" s="7"/>
      <c r="J98" s="7"/>
      <c r="K98" s="7"/>
      <c r="L98" s="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1.75" customHeight="1">
      <c r="A99" s="12" t="str">
        <f t="shared" si="3"/>
        <v/>
      </c>
      <c r="B99" s="12"/>
      <c r="C99" s="6"/>
      <c r="D99" s="6"/>
      <c r="E99" s="12"/>
      <c r="F99" s="13"/>
      <c r="G99" s="13"/>
      <c r="H99" s="12"/>
      <c r="I99" s="6"/>
      <c r="J99" s="6"/>
      <c r="K99" s="6"/>
      <c r="L99" s="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1.75" customHeight="1">
      <c r="A100" s="15" t="str">
        <f t="shared" si="3"/>
        <v/>
      </c>
      <c r="B100" s="15"/>
      <c r="C100" s="7"/>
      <c r="D100" s="7"/>
      <c r="E100" s="15"/>
      <c r="F100" s="16"/>
      <c r="G100" s="16"/>
      <c r="H100" s="15"/>
      <c r="I100" s="7"/>
      <c r="J100" s="7"/>
      <c r="K100" s="7"/>
      <c r="L100" s="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</sheetData>
  <mergeCells count="18">
    <mergeCell ref="A55:L55"/>
    <mergeCell ref="A79:L79"/>
    <mergeCell ref="G6:I6"/>
    <mergeCell ref="J4:L4"/>
    <mergeCell ref="J5:L5"/>
    <mergeCell ref="J6:L6"/>
    <mergeCell ref="A7:L7"/>
    <mergeCell ref="A31:L31"/>
    <mergeCell ref="A1:L1"/>
    <mergeCell ref="A2:L2"/>
    <mergeCell ref="A4:C4"/>
    <mergeCell ref="A5:C5"/>
    <mergeCell ref="A6:C6"/>
    <mergeCell ref="D4:F4"/>
    <mergeCell ref="D5:F5"/>
    <mergeCell ref="D6:F6"/>
    <mergeCell ref="G4:I4"/>
    <mergeCell ref="G5:I5"/>
  </mergeCells>
  <conditionalFormatting sqref="G9:G28">
    <cfRule type="expression" dxfId="75" priority="1">
      <formula>G9="Hoàn thành"</formula>
    </cfRule>
  </conditionalFormatting>
  <conditionalFormatting sqref="G9:G28">
    <cfRule type="expression" dxfId="74" priority="2">
      <formula>G9="Đang thực hiện"</formula>
    </cfRule>
  </conditionalFormatting>
  <conditionalFormatting sqref="G9:G28">
    <cfRule type="expression" dxfId="73" priority="3">
      <formula>G9="Trễ"</formula>
    </cfRule>
  </conditionalFormatting>
  <conditionalFormatting sqref="E9:E28">
    <cfRule type="expression" dxfId="72" priority="4">
      <formula>AND(E9&lt;TODAY(),E9&lt;&gt;"",G9&lt;&gt;"Hoàn thành")</formula>
    </cfRule>
  </conditionalFormatting>
  <conditionalFormatting sqref="G33:G52">
    <cfRule type="expression" dxfId="71" priority="5">
      <formula>G33="Thấp"</formula>
    </cfRule>
  </conditionalFormatting>
  <conditionalFormatting sqref="G33:G52">
    <cfRule type="expression" dxfId="70" priority="6">
      <formula>G33="Trung bình"</formula>
    </cfRule>
  </conditionalFormatting>
  <conditionalFormatting sqref="G33:G52">
    <cfRule type="expression" dxfId="69" priority="7">
      <formula>G33="Cao"</formula>
    </cfRule>
  </conditionalFormatting>
  <conditionalFormatting sqref="H57:H76">
    <cfRule type="expression" dxfId="68" priority="8">
      <formula>H57="Đã duyệt"</formula>
    </cfRule>
  </conditionalFormatting>
  <conditionalFormatting sqref="H57:H76">
    <cfRule type="expression" dxfId="67" priority="9">
      <formula>H57="Đã triển khai"</formula>
    </cfRule>
  </conditionalFormatting>
  <conditionalFormatting sqref="H57:H76">
    <cfRule type="expression" dxfId="66" priority="10">
      <formula>H57="Chờ duyệt"</formula>
    </cfRule>
  </conditionalFormatting>
  <conditionalFormatting sqref="H57:H76">
    <cfRule type="expression" dxfId="65" priority="11">
      <formula>H57="Từ chối"</formula>
    </cfRule>
  </conditionalFormatting>
  <conditionalFormatting sqref="H81:H100">
    <cfRule type="expression" dxfId="64" priority="12">
      <formula>H81="Đạt"</formula>
    </cfRule>
  </conditionalFormatting>
  <conditionalFormatting sqref="H81:H100">
    <cfRule type="expression" dxfId="63" priority="13">
      <formula>H81="Chờ nghiệm thu"</formula>
    </cfRule>
  </conditionalFormatting>
  <conditionalFormatting sqref="H81:H100">
    <cfRule type="expression" dxfId="62" priority="14">
      <formula>H81="Không đạt"</formula>
    </cfRule>
  </conditionalFormatting>
  <dataValidations count="9">
    <dataValidation type="list" allowBlank="1" showInputMessage="1" showErrorMessage="1" sqref="G9:G28" xr:uid="{D4047A48-C3B7-42EC-A851-8E40F35E9DCF}">
      <formula1>$O$2:$O$5</formula1>
    </dataValidation>
    <dataValidation type="list" allowBlank="1" showInputMessage="1" showErrorMessage="1" sqref="C33:C52" xr:uid="{527D7068-85D9-4388-B5C0-BBC436537F55}">
      <formula1>$P$2:$P$3</formula1>
    </dataValidation>
    <dataValidation type="list" allowBlank="1" showInputMessage="1" showErrorMessage="1" sqref="E33:F52" xr:uid="{1234E5A1-9AFB-4B96-A3A6-C817DFA8A2B9}">
      <formula1>$Q$2:$Q$4</formula1>
    </dataValidation>
    <dataValidation type="list" allowBlank="1" showInputMessage="1" showErrorMessage="1" sqref="J33:J52" xr:uid="{FA3D9195-A5F9-4311-A419-9A9D2FE0F31E}">
      <formula1>$R$2:$R$4</formula1>
    </dataValidation>
    <dataValidation type="list" allowBlank="1" showInputMessage="1" showErrorMessage="1" sqref="C57:C76" xr:uid="{274F2DB5-DDB4-41D7-9DD7-5888A2857EF2}">
      <formula1>$S$2:$S$3</formula1>
    </dataValidation>
    <dataValidation type="list" allowBlank="1" showInputMessage="1" showErrorMessage="1" sqref="H57:H76" xr:uid="{D9B94D8B-2C3D-4AF1-8EF8-398FDCB7EDE3}">
      <formula1>$T$2:$T$5</formula1>
    </dataValidation>
    <dataValidation type="list" allowBlank="1" showInputMessage="1" showErrorMessage="1" sqref="H81:H100" xr:uid="{43981A84-90CD-4EB4-AADC-CF419A4E8F36}">
      <formula1>$U$2:$U$5</formula1>
    </dataValidation>
    <dataValidation type="list" allowBlank="1" showInputMessage="1" showErrorMessage="1" sqref="J81:J100" xr:uid="{21D7C622-A72A-4505-B773-0A5FE9CD3490}">
      <formula1>$V$2:$V$3</formula1>
    </dataValidation>
    <dataValidation type="list" allowBlank="1" showInputMessage="1" showErrorMessage="1" sqref="D9:D28 H33:H52 E57:E76 G57:G76 E81:E100" xr:uid="{EF097D1E-8C6A-4902-ACB5-53E0AD80685A}">
      <formula1>$N$2:$N$10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E91445-8436-458B-96A0-CFA13E11CE11}">
          <x14:formula1>
            <xm:f>Project!$A$10:$A$29</xm:f>
          </x14:formula1>
          <xm:sqref>B9:B28 B33:B52 B57:B76 B81:B100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0015-B60C-4E66-89FF-14336EDAC657}">
  <dimension ref="A1:T60"/>
  <sheetViews>
    <sheetView workbookViewId="0"/>
  </sheetViews>
  <sheetFormatPr defaultRowHeight="15"/>
  <sheetData>
    <row r="1" spans="1:20">
      <c r="A1" t="s">
        <v>0</v>
      </c>
      <c r="B1" t="s">
        <v>431</v>
      </c>
      <c r="C1" t="s">
        <v>432</v>
      </c>
      <c r="E1" t="s">
        <v>176</v>
      </c>
      <c r="F1" t="s">
        <v>431</v>
      </c>
      <c r="G1" t="s">
        <v>433</v>
      </c>
      <c r="H1" t="s">
        <v>434</v>
      </c>
      <c r="J1" t="s">
        <v>0</v>
      </c>
      <c r="K1" t="str">
        <f>'Skill Dashboard'!B35</f>
        <v>Tuấn</v>
      </c>
      <c r="L1" t="s">
        <v>435</v>
      </c>
      <c r="M1" t="s">
        <v>436</v>
      </c>
      <c r="O1" t="s">
        <v>1</v>
      </c>
      <c r="P1" t="str">
        <f>'Skill Dashboard'!B35</f>
        <v>Tuấn</v>
      </c>
      <c r="R1" t="s">
        <v>437</v>
      </c>
      <c r="S1" t="str">
        <f>'Skill Dashboard'!B35</f>
        <v>Tuấn</v>
      </c>
      <c r="T1" t="str">
        <f>"Chuẩn "&amp;TEXT('Skill Dashboard'!$M$35,"0%")</f>
        <v>Chuẩn 60%</v>
      </c>
    </row>
    <row r="2" spans="1:20">
      <c r="A2" t="str" cm="1">
        <f t="array" ref="A2:C17">_xlfn.LET(_xlpm.d,TRIM('Team Skill'!$A$2:$A$1000),_xlpm.sk,'Team Skill'!$B$2:$B$1000,_xlpm.n,_xlfn.XMATCH("Owner",'Team Skill'!$1:$1)-3,_xlpm.x,_xlfn.TAKE('Team Skill'!$C$2:$AZ$1000,,_xlpm.n),_xlpm.u,_xlfn.UNIQUE(_xlfn._xlws.FILTER(_xlpm.d,(_xlpm.d&lt;&gt;"")*(_xlpm.sk&lt;&gt;""))),_xlpm.a,_xlfn.MAP(_xlpm.u,_xlfn.LAMBDA(_xlpm.q,IFERROR(AVERAGE(IFERROR(--RIGHT(_xlfn.TOCOL(_xlfn._xlws.FILTER(_xlpm.x,(_xlpm.d=_xlpm.q)*(_xlpm.sk&lt;&gt;""))),1),"")),""))),_xlpm.c,_xlfn.MAP(_xlpm.u,_xlfn.LAMBDA(_xlpm.q,SUM(--(_xlpm.d=_xlpm.q)*--(_xlpm.sk&lt;&gt;"")))),_xlfn.SORTBY(_xlfn.HSTACK(_xlpm.u,_xlpm.a,_xlpm.c),_xlpm.a,-1))</f>
        <v>Server Basic</v>
      </c>
      <c r="B2" s="129">
        <v>2</v>
      </c>
      <c r="C2">
        <v>3</v>
      </c>
      <c r="E2" t="str" cm="1">
        <f t="array" ref="E2:H10">_xlfn.LET(_xlpm.n,_xlfn.XMATCH("Owner",'Team Skill'!$1:$1)-3,_xlpm.h,_xlfn.TAKE('Team Skill'!$C$1:$AZ$1,,_xlpm.n),_xlpm.x,_xlfn.TAKE('Team Skill'!$C$2:$AZ$1000,,_xlpm.n),_xlpm.d,'Team Skill'!$A$2:$A$1000,_xlpm.sk,'Team Skill'!$B$2:$B$1000,_xlpm.v,(_xlpm.d&lt;&gt;"")*(_xlpm.sk&lt;&gt;""),_xlpm.z,_xlfn._xlws.FILTER(_xlpm.x,_xlpm.v),_xlpm.a,_xlfn.BYCOL(_xlpm.z,_xlfn.LAMBDA(_xlpm.q,IFERROR(AVERAGE(IFERROR(--RIGHT(_xlpm.q,1),"")),0))),_xlpm.c,_xlfn.BYCOL(_xlpm.z,_xlfn.LAMBDA(_xlpm.q,SUM(--(_xlpm.q&lt;&gt;"")))),_xlfn.SORTBY(TRANSPOSE(_xlfn.VSTACK(_xlpm.h,_xlpm.a,_xlpm.c,_xlpm.c/SUM(--_xlpm.v))),TRANSPOSE(_xlpm.a),-1))</f>
        <v>Sang</v>
      </c>
      <c r="F2" s="129">
        <v>1.6016949152542372</v>
      </c>
      <c r="G2">
        <v>118</v>
      </c>
      <c r="H2" s="130">
        <v>1</v>
      </c>
      <c r="J2" t="str" cm="1">
        <f t="array" ref="J2:K17">_xlfn.LET(_xlpm.sel,'Skill Dashboard'!$B$35,_xlpm.d,TRIM('Team Skill'!$A$2:$A$1000),_xlpm.sk,'Team Skill'!$B$2:$B$1000,_xlpm.n,_xlfn.XMATCH("Owner",'Team Skill'!$1:$1)-3,_xlpm.h,_xlfn.TAKE('Team Skill'!$C$1:$AZ$1,,_xlpm.n),_xlpm.x,_xlfn.TAKE('Team Skill'!$C$2:$AZ$1000,,_xlpm.n),_xlpm.v,_xlfn.CHOOSECOLS(_xlpm.x,_xlfn.XMATCH(_xlpm.sel,_xlpm.h)),_xlpm.u,_xlfn.UNIQUE(_xlfn._xlws.FILTER(_xlpm.d,(_xlpm.d&lt;&gt;"")*(_xlpm.sk&lt;&gt;""))),_xlpm.a,_xlfn.MAP(_xlpm.u,_xlfn.LAMBDA(_xlpm.q,IFERROR(AVERAGE(IFERROR(--RIGHT(_xlfn._xlws.FILTER(_xlpm.v,(_xlpm.d=_xlpm.q)*(_xlpm.sk&lt;&gt;"")),1),""))/2,0))),_xlfn._xlws.SORT(_xlfn.HSTACK(_xlpm.u,_xlpm.a),1,1))</f>
        <v>Basic Database Querying</v>
      </c>
      <c r="K2" s="130">
        <v>0.625</v>
      </c>
      <c r="L2" s="130" cm="1">
        <f t="array" ref="L2:L17">_xlfn.LET(_xlpm.u,_xlfn.CHOOSECOLS(_xlfn.ANCHORARRAY(J2),1),_xlfn.XLOOKUP(_xlpm.u,_xlfn.CHOOSECOLS(_xlfn.ANCHORARRAY(A2),1),_xlfn.CHOOSECOLS(_xlfn.ANCHORARRAY(A2),2),0)/2)</f>
        <v>0.5625</v>
      </c>
      <c r="M2" t="str" cm="1">
        <f t="array" ref="M2:M10">_xlfn.LET(_xlpm.n,_xlfn.XMATCH("Owner",'Team Skill'!$1:$1)-3,TRANSPOSE(_xlfn.TAKE('Team Skill'!$C$1:$AZ$1,,_xlpm.n)))</f>
        <v>Toàn</v>
      </c>
      <c r="O2" t="str" cm="1">
        <f t="array" ref="O2:P10">_xlfn.LET(_xlpm.sel,'Skill Dashboard'!$B$35,_xlpm.dom,'Skill Dashboard'!$I$35,_xlpm.d,TRIM('Team Skill'!$A$2:$A$1000),_xlpm.sk,'Team Skill'!$B$2:$B$1000,_xlpm.n,_xlfn.XMATCH("Owner",'Team Skill'!$1:$1)-3,_xlpm.h,_xlfn.TAKE('Team Skill'!$C$1:$AZ$1,,_xlpm.n),_xlpm.x,_xlfn.TAKE('Team Skill'!$C$2:$AZ$1000,,_xlpm.n),_xlpm.v,_xlfn.CHOOSECOLS(_xlpm.x,_xlfn.XMATCH(_xlpm.sel,_xlpm.h)),_xlfn._xlws.FILTER(_xlfn.HSTACK(_xlpm.sk,IF(_xlpm.v="","",IFERROR(--RIGHT(_xlpm.v,1)/2,""))),(_xlpm.d=TRIM(_xlpm.dom))*(_xlpm.sk&lt;&gt;"")))</f>
        <v>Windows Server Administration</v>
      </c>
      <c r="P2" s="130">
        <v>1</v>
      </c>
      <c r="R2" t="str" cm="1">
        <f t="array" ref="R2">IFERROR(INDEX(_xlfn.CHOOSECOLS(_xlfn.ANCHORARRAY($O$2),1),ROWS($R$2:R2)),"")</f>
        <v>Windows Server Administration</v>
      </c>
      <c r="S2" s="130" cm="1">
        <f t="array" ref="S2">IFERROR(INDEX(_xlfn.CHOOSECOLS(_xlfn.ANCHORARRAY($O$2),2),ROWS($S$2:S2)),"")</f>
        <v>1</v>
      </c>
      <c r="T2" s="130">
        <f>IF(R2&lt;&gt;"",'Skill Dashboard'!$M$35,"")</f>
        <v>0.6</v>
      </c>
    </row>
    <row r="3" spans="1:20">
      <c r="A3" t="str">
        <v>Windows Server</v>
      </c>
      <c r="B3" s="129">
        <v>1.7638888888888888</v>
      </c>
      <c r="C3">
        <v>9</v>
      </c>
      <c r="E3" t="str">
        <v>Duy</v>
      </c>
      <c r="F3" s="129">
        <v>1.4957264957264957</v>
      </c>
      <c r="G3">
        <v>117</v>
      </c>
      <c r="H3" s="130">
        <v>0.99152542372881358</v>
      </c>
      <c r="J3" t="str">
        <v>Basic Programming</v>
      </c>
      <c r="K3" s="130">
        <v>0.375</v>
      </c>
      <c r="L3" s="130">
        <v>0.3125</v>
      </c>
      <c r="M3" t="str">
        <v>Long</v>
      </c>
      <c r="O3" t="str">
        <v>Active Directory Domain Services (AD DS)</v>
      </c>
      <c r="P3" s="130">
        <v>1</v>
      </c>
      <c r="R3" t="str" cm="1">
        <f t="array" ref="R3">IFERROR(INDEX(_xlfn.CHOOSECOLS(_xlfn.ANCHORARRAY($O$2),1),ROWS($R$2:R3)),"")</f>
        <v>Active Directory Domain Services (AD DS)</v>
      </c>
      <c r="S3" s="130" cm="1">
        <f t="array" ref="S3">IFERROR(INDEX(_xlfn.CHOOSECOLS(_xlfn.ANCHORARRAY($O$2),2),ROWS($S$2:S3)),"")</f>
        <v>1</v>
      </c>
      <c r="T3" s="130">
        <f>IF(R3&lt;&gt;"",'Skill Dashboard'!$M$35,"")</f>
        <v>0.6</v>
      </c>
    </row>
    <row r="4" spans="1:20">
      <c r="A4" t="str">
        <v>Network</v>
      </c>
      <c r="B4" s="129">
        <v>1.40625</v>
      </c>
      <c r="C4">
        <v>8</v>
      </c>
      <c r="E4" t="str">
        <v>Tuấn</v>
      </c>
      <c r="F4" s="129">
        <v>1.423728813559322</v>
      </c>
      <c r="G4">
        <v>118</v>
      </c>
      <c r="H4" s="130">
        <v>1</v>
      </c>
      <c r="J4" t="str">
        <v>Container Platform</v>
      </c>
      <c r="K4" s="130">
        <v>0.375</v>
      </c>
      <c r="L4" s="130">
        <v>0.25</v>
      </c>
      <c r="M4" t="str">
        <v>Tuấn</v>
      </c>
      <c r="O4" t="str">
        <v>Group Policy (GPO)</v>
      </c>
      <c r="P4" s="130">
        <v>1</v>
      </c>
      <c r="R4" t="str" cm="1">
        <f t="array" ref="R4">IFERROR(INDEX(_xlfn.CHOOSECOLS(_xlfn.ANCHORARRAY($O$2),1),ROWS($R$2:R4)),"")</f>
        <v>Group Policy (GPO)</v>
      </c>
      <c r="S4" s="130" cm="1">
        <f t="array" ref="S4">IFERROR(INDEX(_xlfn.CHOOSECOLS(_xlfn.ANCHORARRAY($O$2),2),ROWS($S$2:S4)),"")</f>
        <v>1</v>
      </c>
      <c r="T4" s="130">
        <f>IF(R4&lt;&gt;"",'Skill Dashboard'!$M$35,"")</f>
        <v>0.6</v>
      </c>
    </row>
    <row r="5" spans="1:20">
      <c r="A5" t="str">
        <v>Linux Server</v>
      </c>
      <c r="B5" s="129">
        <v>1.35</v>
      </c>
      <c r="C5">
        <v>10</v>
      </c>
      <c r="E5" t="str">
        <v>Long</v>
      </c>
      <c r="F5" s="129">
        <v>1.0169491525423728</v>
      </c>
      <c r="G5">
        <v>118</v>
      </c>
      <c r="H5" s="130">
        <v>1</v>
      </c>
      <c r="J5" t="str">
        <v>Database (Deploy &amp; Basic configuration)</v>
      </c>
      <c r="K5" s="130">
        <v>0.75</v>
      </c>
      <c r="L5" s="130">
        <v>0.609375</v>
      </c>
      <c r="M5" t="str">
        <v>Duy</v>
      </c>
      <c r="O5" t="str">
        <v>Active Directory Certificate Services (AD CS)</v>
      </c>
      <c r="P5" s="130">
        <v>1</v>
      </c>
      <c r="R5" t="str" cm="1">
        <f t="array" ref="R5">IFERROR(INDEX(_xlfn.CHOOSECOLS(_xlfn.ANCHORARRAY($O$2),1),ROWS($R$2:R5)),"")</f>
        <v>Active Directory Certificate Services (AD CS)</v>
      </c>
      <c r="S5" s="130" cm="1">
        <f t="array" ref="S5">IFERROR(INDEX(_xlfn.CHOOSECOLS(_xlfn.ANCHORARRAY($O$2),2),ROWS($S$2:S5)),"")</f>
        <v>1</v>
      </c>
      <c r="T5" s="130">
        <f>IF(R5&lt;&gt;"",'Skill Dashboard'!$M$35,"")</f>
        <v>0.6</v>
      </c>
    </row>
    <row r="6" spans="1:20">
      <c r="A6" t="str">
        <v>Database (Deploy &amp; Basic configuration)</v>
      </c>
      <c r="B6" s="129">
        <v>1.21875</v>
      </c>
      <c r="C6">
        <v>4</v>
      </c>
      <c r="E6" t="str">
        <v>Toàn</v>
      </c>
      <c r="F6" s="129">
        <v>0.99152542372881358</v>
      </c>
      <c r="G6">
        <v>118</v>
      </c>
      <c r="H6" s="130">
        <v>1</v>
      </c>
      <c r="J6" t="str">
        <v>Firewall</v>
      </c>
      <c r="K6" s="130">
        <v>0.75</v>
      </c>
      <c r="L6" s="130">
        <v>0.53125</v>
      </c>
      <c r="M6" t="str">
        <v>Sang</v>
      </c>
      <c r="O6" t="str">
        <v>DNS</v>
      </c>
      <c r="P6" s="130">
        <v>1</v>
      </c>
      <c r="R6" t="str" cm="1">
        <f t="array" ref="R6">IFERROR(INDEX(_xlfn.CHOOSECOLS(_xlfn.ANCHORARRAY($O$2),1),ROWS($R$2:R6)),"")</f>
        <v>DNS</v>
      </c>
      <c r="S6" s="130" cm="1">
        <f t="array" ref="S6">IFERROR(INDEX(_xlfn.CHOOSECOLS(_xlfn.ANCHORARRAY($O$2),2),ROWS($S$2:S6)),"")</f>
        <v>1</v>
      </c>
      <c r="T6" s="130">
        <f>IF(R6&lt;&gt;"",'Skill Dashboard'!$M$35,"")</f>
        <v>0.6</v>
      </c>
    </row>
    <row r="7" spans="1:20">
      <c r="A7" t="str">
        <v>Wireless</v>
      </c>
      <c r="B7" s="129">
        <v>1.2083333333333333</v>
      </c>
      <c r="C7">
        <v>6</v>
      </c>
      <c r="E7" t="str">
        <v>Bảo</v>
      </c>
      <c r="F7" s="129">
        <v>0.9576271186440678</v>
      </c>
      <c r="G7">
        <v>118</v>
      </c>
      <c r="H7" s="130">
        <v>1</v>
      </c>
      <c r="J7" t="str">
        <v>Linux Server</v>
      </c>
      <c r="K7" s="130">
        <v>0.8</v>
      </c>
      <c r="L7" s="130">
        <v>0.67500000000000004</v>
      </c>
      <c r="M7" t="str">
        <v>Bảo</v>
      </c>
      <c r="O7" t="str">
        <v>DHCP</v>
      </c>
      <c r="P7" s="130">
        <v>1</v>
      </c>
      <c r="R7" t="str" cm="1">
        <f t="array" ref="R7">IFERROR(INDEX(_xlfn.CHOOSECOLS(_xlfn.ANCHORARRAY($O$2),1),ROWS($R$2:R7)),"")</f>
        <v>DHCP</v>
      </c>
      <c r="S7" s="130" cm="1">
        <f t="array" ref="S7">IFERROR(INDEX(_xlfn.CHOOSECOLS(_xlfn.ANCHORARRAY($O$2),2),ROWS($S$2:S7)),"")</f>
        <v>1</v>
      </c>
      <c r="T7" s="130">
        <f>IF(R7&lt;&gt;"",'Skill Dashboard'!$M$35,"")</f>
        <v>0.6</v>
      </c>
    </row>
    <row r="8" spans="1:20">
      <c r="A8" t="str">
        <v>Basic Database Querying</v>
      </c>
      <c r="B8" s="129">
        <v>1.125</v>
      </c>
      <c r="C8">
        <v>4</v>
      </c>
      <c r="E8" t="str">
        <v>Khánh</v>
      </c>
      <c r="F8" s="129">
        <v>0.74576271186440679</v>
      </c>
      <c r="G8">
        <v>118</v>
      </c>
      <c r="H8" s="130">
        <v>1</v>
      </c>
      <c r="J8" t="str">
        <v>Log file analysis and troubleshooting</v>
      </c>
      <c r="K8" s="130">
        <v>0.5</v>
      </c>
      <c r="L8" s="130">
        <v>0.5625</v>
      </c>
      <c r="M8" t="str">
        <v>Thông</v>
      </c>
      <c r="O8" t="str">
        <v>IIS</v>
      </c>
      <c r="P8" s="130">
        <v>1</v>
      </c>
      <c r="R8" t="str" cm="1">
        <f t="array" ref="R8">IFERROR(INDEX(_xlfn.CHOOSECOLS(_xlfn.ANCHORARRAY($O$2),1),ROWS($R$2:R8)),"")</f>
        <v>IIS</v>
      </c>
      <c r="S8" s="130" cm="1">
        <f t="array" ref="S8">IFERROR(INDEX(_xlfn.CHOOSECOLS(_xlfn.ANCHORARRAY($O$2),2),ROWS($S$2:S8)),"")</f>
        <v>1</v>
      </c>
      <c r="T8" s="130">
        <f>IF(R8&lt;&gt;"",'Skill Dashboard'!$M$35,"")</f>
        <v>0.6</v>
      </c>
    </row>
    <row r="9" spans="1:20">
      <c r="A9" t="str">
        <v>Log file analysis and troubleshooting</v>
      </c>
      <c r="B9" s="129">
        <v>1.125</v>
      </c>
      <c r="C9">
        <v>1</v>
      </c>
      <c r="E9" t="str">
        <v>Thông</v>
      </c>
      <c r="F9" s="129">
        <v>0.72881355932203384</v>
      </c>
      <c r="G9">
        <v>118</v>
      </c>
      <c r="H9" s="130">
        <v>1</v>
      </c>
      <c r="J9" t="str">
        <v>Network</v>
      </c>
      <c r="K9" s="130">
        <v>0.8125</v>
      </c>
      <c r="L9" s="130">
        <v>0.703125</v>
      </c>
      <c r="M9" t="str">
        <v>Khánh</v>
      </c>
      <c r="O9" t="str">
        <v>Failover Clustering</v>
      </c>
      <c r="P9" s="130">
        <v>1</v>
      </c>
      <c r="R9" t="str" cm="1">
        <f t="array" ref="R9">IFERROR(INDEX(_xlfn.CHOOSECOLS(_xlfn.ANCHORARRAY($O$2),1),ROWS($R$2:R9)),"")</f>
        <v>Failover Clustering</v>
      </c>
      <c r="S9" s="130" cm="1">
        <f t="array" ref="S9">IFERROR(INDEX(_xlfn.CHOOSECOLS(_xlfn.ANCHORARRAY($O$2),2),ROWS($S$2:S9)),"")</f>
        <v>1</v>
      </c>
      <c r="T9" s="130">
        <f>IF(R9&lt;&gt;"",'Skill Dashboard'!$M$35,"")</f>
        <v>0.6</v>
      </c>
    </row>
    <row r="10" spans="1:20">
      <c r="A10" t="str">
        <v>Firewall</v>
      </c>
      <c r="B10" s="129">
        <v>1.0625</v>
      </c>
      <c r="C10">
        <v>8</v>
      </c>
      <c r="E10" t="str">
        <v>NV.A</v>
      </c>
      <c r="F10" s="129">
        <v>0</v>
      </c>
      <c r="G10">
        <v>0</v>
      </c>
      <c r="H10" s="130">
        <v>0</v>
      </c>
      <c r="J10" t="str">
        <v>Security</v>
      </c>
      <c r="K10" s="130">
        <v>0.8</v>
      </c>
      <c r="L10" s="130">
        <v>0.46835443037974683</v>
      </c>
      <c r="M10" t="str">
        <v>NV.A</v>
      </c>
      <c r="O10" t="str">
        <v>File Services</v>
      </c>
      <c r="P10" s="130">
        <v>1</v>
      </c>
      <c r="R10" t="str" cm="1">
        <f t="array" ref="R10">IFERROR(INDEX(_xlfn.CHOOSECOLS(_xlfn.ANCHORARRAY($O$2),1),ROWS($R$2:R10)),"")</f>
        <v>File Services</v>
      </c>
      <c r="S10" s="130" cm="1">
        <f t="array" ref="S10">IFERROR(INDEX(_xlfn.CHOOSECOLS(_xlfn.ANCHORARRAY($O$2),2),ROWS($S$2:S10)),"")</f>
        <v>1</v>
      </c>
      <c r="T10" s="130">
        <f>IF(R10&lt;&gt;"",'Skill Dashboard'!$M$35,"")</f>
        <v>0.6</v>
      </c>
    </row>
    <row r="11" spans="1:20">
      <c r="A11" t="str">
        <v>Storage &amp; Backup</v>
      </c>
      <c r="B11" s="129">
        <v>1.0104166666666667</v>
      </c>
      <c r="C11">
        <v>12</v>
      </c>
      <c r="F11" s="129"/>
      <c r="H11" s="130"/>
      <c r="J11" t="str">
        <v>Server Basic</v>
      </c>
      <c r="K11" s="130">
        <v>1</v>
      </c>
      <c r="L11" s="130">
        <v>1</v>
      </c>
      <c r="P11" s="130"/>
      <c r="R11" t="str" cm="1">
        <f t="array" ref="R11">IFERROR(INDEX(_xlfn.CHOOSECOLS(_xlfn.ANCHORARRAY($O$2),1),ROWS($R$2:R11)),"")</f>
        <v/>
      </c>
      <c r="S11" s="130" t="str" cm="1">
        <f t="array" ref="S11">IFERROR(INDEX(_xlfn.CHOOSECOLS(_xlfn.ANCHORARRAY($O$2),2),ROWS($S$2:S11)),"")</f>
        <v/>
      </c>
      <c r="T11" s="130" t="str">
        <f>IF(R11&lt;&gt;"",'Skill Dashboard'!$M$35,"")</f>
        <v/>
      </c>
    </row>
    <row r="12" spans="1:20">
      <c r="A12" t="str">
        <v>Virtualization</v>
      </c>
      <c r="B12" s="129">
        <v>0.97916666666666663</v>
      </c>
      <c r="C12">
        <v>12</v>
      </c>
      <c r="F12" s="129"/>
      <c r="H12" s="130"/>
      <c r="J12" t="str">
        <v>Storage &amp; Backup</v>
      </c>
      <c r="K12" s="130">
        <v>0.70833333333333337</v>
      </c>
      <c r="L12" s="130">
        <v>0.50520833333333337</v>
      </c>
      <c r="P12" s="130"/>
      <c r="R12" t="str" cm="1">
        <f t="array" ref="R12">IFERROR(INDEX(_xlfn.CHOOSECOLS(_xlfn.ANCHORARRAY($O$2),1),ROWS($R$2:R12)),"")</f>
        <v/>
      </c>
      <c r="S12" s="130" t="str" cm="1">
        <f t="array" ref="S12">IFERROR(INDEX(_xlfn.CHOOSECOLS(_xlfn.ANCHORARRAY($O$2),2),ROWS($S$2:S12)),"")</f>
        <v/>
      </c>
      <c r="T12" s="130" t="str">
        <f>IF(R12&lt;&gt;"",'Skill Dashboard'!$M$35,"")</f>
        <v/>
      </c>
    </row>
    <row r="13" spans="1:20">
      <c r="A13" t="str">
        <v>UC &amp; Contact Center</v>
      </c>
      <c r="B13" s="129">
        <v>0.95833333333333337</v>
      </c>
      <c r="C13">
        <v>12</v>
      </c>
      <c r="F13" s="129"/>
      <c r="H13" s="130"/>
      <c r="J13" t="str">
        <v>Syslog &amp; Monitoring</v>
      </c>
      <c r="K13" s="130">
        <v>0.59090909090909094</v>
      </c>
      <c r="L13" s="130">
        <v>0.45454545454545453</v>
      </c>
      <c r="P13" s="130"/>
      <c r="R13" t="str" cm="1">
        <f t="array" ref="R13">IFERROR(INDEX(_xlfn.CHOOSECOLS(_xlfn.ANCHORARRAY($O$2),1),ROWS($R$2:R13)),"")</f>
        <v/>
      </c>
      <c r="S13" s="130" t="str" cm="1">
        <f t="array" ref="S13">IFERROR(INDEX(_xlfn.CHOOSECOLS(_xlfn.ANCHORARRAY($O$2),2),ROWS($S$2:S13)),"")</f>
        <v/>
      </c>
      <c r="T13" s="130" t="str">
        <f>IF(R13&lt;&gt;"",'Skill Dashboard'!$M$35,"")</f>
        <v/>
      </c>
    </row>
    <row r="14" spans="1:20">
      <c r="A14" t="str">
        <v>Security</v>
      </c>
      <c r="B14" s="129">
        <v>0.93670886075949367</v>
      </c>
      <c r="C14">
        <v>10</v>
      </c>
      <c r="F14" s="129"/>
      <c r="H14" s="130"/>
      <c r="J14" t="str">
        <v>UC &amp; Contact Center</v>
      </c>
      <c r="K14" s="130">
        <v>0.70833333333333337</v>
      </c>
      <c r="L14" s="130">
        <v>0.47916666666666669</v>
      </c>
      <c r="P14" s="130"/>
    </row>
    <row r="15" spans="1:20">
      <c r="A15" t="str">
        <v>Syslog &amp; Monitoring</v>
      </c>
      <c r="B15" s="129">
        <v>0.90909090909090906</v>
      </c>
      <c r="C15">
        <v>11</v>
      </c>
      <c r="F15" s="129"/>
      <c r="H15" s="130"/>
      <c r="J15" t="str">
        <v>Virtualization</v>
      </c>
      <c r="K15" s="130">
        <v>0.5</v>
      </c>
      <c r="L15" s="130">
        <v>0.48958333333333331</v>
      </c>
      <c r="P15" s="130"/>
    </row>
    <row r="16" spans="1:20">
      <c r="A16" t="str">
        <v>Basic Programming</v>
      </c>
      <c r="B16" s="129">
        <v>0.625</v>
      </c>
      <c r="C16">
        <v>4</v>
      </c>
      <c r="F16" s="129"/>
      <c r="H16" s="130"/>
      <c r="J16" t="str">
        <v>Windows Server</v>
      </c>
      <c r="K16" s="130">
        <v>1</v>
      </c>
      <c r="L16" s="130">
        <v>0.88194444444444442</v>
      </c>
      <c r="P16" s="130"/>
    </row>
    <row r="17" spans="1:16">
      <c r="A17" t="str">
        <v>Container Platform</v>
      </c>
      <c r="B17" s="129">
        <v>0.5</v>
      </c>
      <c r="C17">
        <v>4</v>
      </c>
      <c r="F17" s="129"/>
      <c r="H17" s="130"/>
      <c r="J17" t="str">
        <v>Wireless</v>
      </c>
      <c r="K17" s="130">
        <v>0.83333333333333337</v>
      </c>
      <c r="L17" s="130">
        <v>0.60416666666666663</v>
      </c>
      <c r="P17" s="130"/>
    </row>
    <row r="18" spans="1:16">
      <c r="B18" s="129"/>
      <c r="F18" s="129"/>
      <c r="H18" s="130"/>
      <c r="K18" s="130"/>
      <c r="L18" s="130"/>
      <c r="P18" s="130"/>
    </row>
    <row r="19" spans="1:16">
      <c r="B19" s="129"/>
      <c r="F19" s="129"/>
      <c r="H19" s="130"/>
      <c r="K19" s="130"/>
      <c r="L19" s="130"/>
      <c r="P19" s="130"/>
    </row>
    <row r="20" spans="1:16">
      <c r="B20" s="129"/>
      <c r="F20" s="129"/>
      <c r="H20" s="130"/>
      <c r="K20" s="130"/>
      <c r="L20" s="130"/>
      <c r="P20" s="130"/>
    </row>
    <row r="21" spans="1:16">
      <c r="B21" s="129"/>
      <c r="F21" s="129"/>
      <c r="H21" s="130"/>
      <c r="K21" s="130"/>
      <c r="L21" s="130"/>
      <c r="P21" s="130"/>
    </row>
    <row r="22" spans="1:16">
      <c r="B22" s="129"/>
      <c r="F22" s="129"/>
      <c r="H22" s="130"/>
      <c r="K22" s="130"/>
      <c r="L22" s="130"/>
      <c r="P22" s="130"/>
    </row>
    <row r="23" spans="1:16">
      <c r="B23" s="129"/>
      <c r="F23" s="129"/>
      <c r="H23" s="130"/>
      <c r="K23" s="130"/>
      <c r="L23" s="130"/>
      <c r="P23" s="130"/>
    </row>
    <row r="24" spans="1:16">
      <c r="B24" s="129"/>
      <c r="F24" s="129"/>
      <c r="H24" s="130"/>
      <c r="K24" s="130"/>
      <c r="L24" s="130"/>
      <c r="P24" s="130"/>
    </row>
    <row r="25" spans="1:16">
      <c r="B25" s="129"/>
      <c r="F25" s="129"/>
      <c r="H25" s="130"/>
      <c r="K25" s="130"/>
      <c r="L25" s="130"/>
      <c r="P25" s="130"/>
    </row>
    <row r="26" spans="1:16">
      <c r="B26" s="129"/>
      <c r="F26" s="129"/>
      <c r="H26" s="130"/>
      <c r="K26" s="130"/>
      <c r="L26" s="130"/>
      <c r="P26" s="130"/>
    </row>
    <row r="27" spans="1:16">
      <c r="B27" s="129"/>
      <c r="F27" s="129"/>
      <c r="H27" s="130"/>
      <c r="K27" s="130"/>
      <c r="L27" s="130"/>
      <c r="P27" s="130"/>
    </row>
    <row r="28" spans="1:16">
      <c r="B28" s="129"/>
      <c r="F28" s="129"/>
      <c r="H28" s="130"/>
      <c r="K28" s="130"/>
      <c r="L28" s="130"/>
      <c r="P28" s="130"/>
    </row>
    <row r="29" spans="1:16">
      <c r="B29" s="129"/>
      <c r="F29" s="129"/>
      <c r="H29" s="130"/>
      <c r="K29" s="130"/>
      <c r="L29" s="130"/>
      <c r="P29" s="130"/>
    </row>
    <row r="30" spans="1:16">
      <c r="B30" s="129"/>
      <c r="F30" s="129"/>
      <c r="H30" s="130"/>
      <c r="K30" s="130"/>
      <c r="L30" s="130"/>
      <c r="P30" s="130"/>
    </row>
    <row r="31" spans="1:16">
      <c r="B31" s="129"/>
      <c r="K31" s="130"/>
      <c r="L31" s="130"/>
      <c r="P31" s="130"/>
    </row>
    <row r="32" spans="1:16">
      <c r="B32" s="129"/>
      <c r="K32" s="130"/>
      <c r="L32" s="130"/>
      <c r="P32" s="130"/>
    </row>
    <row r="33" spans="2:16">
      <c r="B33" s="129"/>
      <c r="K33" s="130"/>
      <c r="L33" s="130"/>
      <c r="P33" s="130"/>
    </row>
    <row r="34" spans="2:16">
      <c r="B34" s="129"/>
      <c r="K34" s="130"/>
      <c r="L34" s="130"/>
      <c r="P34" s="130"/>
    </row>
    <row r="35" spans="2:16">
      <c r="B35" s="129"/>
      <c r="K35" s="130"/>
      <c r="L35" s="130"/>
      <c r="P35" s="130"/>
    </row>
    <row r="36" spans="2:16">
      <c r="B36" s="129"/>
      <c r="K36" s="130"/>
      <c r="L36" s="130"/>
      <c r="P36" s="130"/>
    </row>
    <row r="37" spans="2:16">
      <c r="B37" s="129"/>
      <c r="K37" s="130"/>
      <c r="L37" s="130"/>
      <c r="P37" s="130"/>
    </row>
    <row r="38" spans="2:16">
      <c r="B38" s="129"/>
      <c r="K38" s="130"/>
      <c r="L38" s="130"/>
      <c r="P38" s="130"/>
    </row>
    <row r="39" spans="2:16">
      <c r="B39" s="129"/>
      <c r="K39" s="130"/>
      <c r="L39" s="130"/>
      <c r="P39" s="130"/>
    </row>
    <row r="40" spans="2:16">
      <c r="B40" s="129"/>
      <c r="K40" s="130"/>
      <c r="L40" s="130"/>
      <c r="P40" s="130"/>
    </row>
    <row r="41" spans="2:16">
      <c r="B41" s="129"/>
      <c r="K41" s="129"/>
      <c r="L41" s="129"/>
      <c r="P41" s="130"/>
    </row>
    <row r="42" spans="2:16">
      <c r="B42" s="129"/>
      <c r="K42" s="129"/>
      <c r="L42" s="129"/>
      <c r="P42" s="130"/>
    </row>
    <row r="43" spans="2:16">
      <c r="B43" s="129"/>
      <c r="K43" s="129"/>
      <c r="L43" s="129"/>
      <c r="P43" s="130"/>
    </row>
    <row r="44" spans="2:16">
      <c r="B44" s="129"/>
      <c r="K44" s="129"/>
      <c r="L44" s="129"/>
      <c r="P44" s="130"/>
    </row>
    <row r="45" spans="2:16">
      <c r="B45" s="129"/>
      <c r="K45" s="129"/>
      <c r="L45" s="129"/>
      <c r="P45" s="130"/>
    </row>
    <row r="46" spans="2:16">
      <c r="B46" s="129"/>
      <c r="K46" s="129"/>
      <c r="L46" s="129"/>
      <c r="P46" s="130"/>
    </row>
    <row r="47" spans="2:16">
      <c r="B47" s="129"/>
      <c r="K47" s="129"/>
      <c r="L47" s="129"/>
      <c r="P47" s="130"/>
    </row>
    <row r="48" spans="2:16">
      <c r="B48" s="129"/>
      <c r="K48" s="129"/>
      <c r="L48" s="129"/>
      <c r="P48" s="130"/>
    </row>
    <row r="49" spans="2:16">
      <c r="B49" s="129"/>
      <c r="K49" s="129"/>
      <c r="L49" s="129"/>
      <c r="P49" s="130"/>
    </row>
    <row r="50" spans="2:16">
      <c r="B50" s="129"/>
      <c r="K50" s="129"/>
      <c r="L50" s="129"/>
      <c r="P50" s="130"/>
    </row>
    <row r="51" spans="2:16">
      <c r="K51" s="129"/>
      <c r="L51" s="129"/>
    </row>
    <row r="52" spans="2:16">
      <c r="K52" s="129"/>
      <c r="L52" s="129"/>
    </row>
    <row r="53" spans="2:16">
      <c r="K53" s="129"/>
      <c r="L53" s="129"/>
    </row>
    <row r="54" spans="2:16">
      <c r="K54" s="129"/>
      <c r="L54" s="129"/>
    </row>
    <row r="55" spans="2:16">
      <c r="K55" s="129"/>
      <c r="L55" s="129"/>
    </row>
    <row r="56" spans="2:16">
      <c r="K56" s="129"/>
      <c r="L56" s="129"/>
    </row>
    <row r="57" spans="2:16">
      <c r="K57" s="129"/>
      <c r="L57" s="129"/>
    </row>
    <row r="58" spans="2:16">
      <c r="K58" s="129"/>
      <c r="L58" s="129"/>
    </row>
    <row r="59" spans="2:16">
      <c r="K59" s="129"/>
      <c r="L59" s="129"/>
    </row>
    <row r="60" spans="2:16">
      <c r="K60" s="129"/>
      <c r="L60" s="1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 PHUOC SANG</dc:creator>
  <cp:keywords/>
  <dc:description/>
  <cp:lastModifiedBy>NGO MINH TUAN</cp:lastModifiedBy>
  <cp:revision>8</cp:revision>
  <dcterms:created xsi:type="dcterms:W3CDTF">2026-09-28T09:36:40Z</dcterms:created>
  <dcterms:modified xsi:type="dcterms:W3CDTF">2026-10-02T04:22:19Z</dcterms:modified>
  <cp:category/>
  <cp:contentStatus/>
</cp:coreProperties>
</file>